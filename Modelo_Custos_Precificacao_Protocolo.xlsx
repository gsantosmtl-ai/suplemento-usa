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Custos" sheetId="3" state="visible" r:id="rId3"/>
    <sheet name="Funil" sheetId="4" state="visible" r:id="rId4"/>
    <sheet name="PnL" sheetId="5" state="visible" r:id="rId5"/>
    <sheet name="Oferta" sheetId="6" state="visible" r:id="rId6"/>
    <sheet name="Teto_COGS" sheetId="7" state="visible" r:id="rId7"/>
    <sheet name="Precos" sheetId="8" state="visible" r:id="rId8"/>
    <sheet name="Grade" sheetId="9" state="visible" r:id="rId9"/>
    <sheet name="Targ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#,##0;(#,##0);-"/>
    <numFmt numFmtId="166" formatCode="0.0%;(0.0%);-"/>
    <numFmt numFmtId="167" formatCode="$#,##0;($#,##0);-"/>
    <numFmt numFmtId="168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167" fontId="6" fillId="3" borderId="1" pivotButton="0" quotePrefix="0" xfId="0"/>
    <xf numFmtId="0" fontId="3" fillId="4" borderId="1" pivotButton="0" quotePrefix="0" xfId="0"/>
    <xf numFmtId="165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3" fillId="0" borderId="2" pivotButton="0" quotePrefix="0" xfId="0"/>
    <xf numFmtId="166" fontId="3" fillId="0" borderId="0" pivotButton="0" quotePrefix="0" xfId="0"/>
    <xf numFmtId="0" fontId="3" fillId="4" borderId="1" applyAlignment="1" pivotButton="0" quotePrefix="0" xfId="0">
      <alignment vertical="center" wrapText="1"/>
    </xf>
    <xf numFmtId="167" fontId="4" fillId="0" borderId="0" pivotButton="0" quotePrefix="0" xfId="0"/>
    <xf numFmtId="165" fontId="3" fillId="0" borderId="2" pivotButton="0" quotePrefix="0" xfId="0"/>
    <xf numFmtId="168" fontId="4" fillId="0" borderId="0" pivotButton="0" quotePrefix="0" xfId="0"/>
    <xf numFmtId="166" fontId="4" fillId="0" borderId="0" pivotButton="0" quotePrefix="0" xfId="0"/>
    <xf numFmtId="0" fontId="3" fillId="4" borderId="1" applyAlignment="1" pivotButton="0" quotePrefix="0" xfId="0">
      <alignment horizontal="center"/>
    </xf>
    <xf numFmtId="167" fontId="3" fillId="0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6" fontId="7" fillId="0" borderId="1" pivotButton="0" quotePrefix="0" xfId="0"/>
    <xf numFmtId="0" fontId="3" fillId="0" borderId="0" applyAlignment="1" pivotButton="0" quotePrefix="0" xfId="0">
      <alignment horizontal="center"/>
    </xf>
    <xf numFmtId="167" fontId="6" fillId="3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2" fontId="4" fillId="0" borderId="0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MODELO DE CUSTOS E PRECIFICACAO — Protocolo de Emagrecimento</t>
        </is>
      </c>
    </row>
    <row r="3">
      <c r="A3" s="2" t="inlineStr">
        <is>
          <t>Supplements LLC · funil de webinar ao vivo com recuperacao comercial · mercado EUA · oferta: 6 meses de tratamento + 3 meses de brinde · preco-alvo $389</t>
        </is>
      </c>
    </row>
    <row r="4">
      <c r="A4" s="2" t="inlineStr"/>
    </row>
    <row r="5">
      <c r="A5" s="3" t="inlineStr">
        <is>
          <t>COMO USAR</t>
        </is>
      </c>
    </row>
    <row r="6">
      <c r="A6" s="4" t="inlineStr">
        <is>
          <t>1. Preencha a aba PREMISSAS. Toda celula AMARELA com texto AZUL e campo seu para editar.</t>
        </is>
      </c>
    </row>
    <row r="7">
      <c r="A7" s="4" t="inlineStr">
        <is>
          <t>2. As demais abas sao formula e recalculam sozinhas.</t>
        </is>
      </c>
    </row>
    <row r="8">
      <c r="A8" s="4" t="inlineStr">
        <is>
          <t>3. Quando os orcamentos chegarem, troque os custos no bloco 1 de PREMISSAS. E o que mais move o resultado.</t>
        </is>
      </c>
    </row>
    <row r="9">
      <c r="A9" s="4" t="inlineStr">
        <is>
          <t>4. OFERTA compara o que fazer com os meses 4 a 6 do po: dar, ou vender como bump.</t>
        </is>
      </c>
    </row>
    <row r="10">
      <c r="A10" s="4" t="inlineStr">
        <is>
          <t>5. TETO_COGS responde a pergunta inversa: dado o preco, quanto o produto PODE custar.</t>
        </is>
      </c>
    </row>
    <row r="11">
      <c r="A11" s="4" t="inlineStr"/>
    </row>
    <row r="12">
      <c r="A12" s="4" t="inlineStr">
        <is>
          <t>CORES:  azul sobre amarelo = premissa editavel   ·   preto = formula   ·   verde = puxado de outra aba</t>
        </is>
      </c>
    </row>
    <row r="13">
      <c r="A13" s="4" t="inlineStr"/>
    </row>
    <row r="14">
      <c r="A14" s="3" t="inlineStr">
        <is>
          <t>ABAS</t>
        </is>
      </c>
    </row>
    <row r="15">
      <c r="A15" s="4" t="inlineStr">
        <is>
          <t>PREMISSAS  — custos de produto, logistica, funil, midia, comercial, taxas, precos.</t>
        </is>
      </c>
    </row>
    <row r="16">
      <c r="A16" s="4" t="inlineStr">
        <is>
          <t>CUSTOS     — monta o custo de um pedido e o capital de estoque por tamanho de lote.</t>
        </is>
      </c>
    </row>
    <row r="17">
      <c r="A17" s="4" t="inlineStr">
        <is>
          <t>FUNIL      — do anuncio ao pedido pago, com a recuperacao do time comercial.</t>
        </is>
      </c>
    </row>
    <row r="18">
      <c r="A18" s="4" t="inlineStr">
        <is>
          <t>PNL        — resultado por pedido e no mes. Venda direta e afiliados lado a lado.</t>
        </is>
      </c>
    </row>
    <row r="19">
      <c r="A19" s="4" t="inlineStr">
        <is>
          <t>OFERTA     — tres configuracoes da oferta a $389 e o CAC maximo de cada uma.</t>
        </is>
      </c>
    </row>
    <row r="20">
      <c r="A20" s="4" t="inlineStr">
        <is>
          <t>TETO_COGS  — custo maximo admissivel do produto por faixa de preco.</t>
        </is>
      </c>
    </row>
    <row r="21">
      <c r="A21" s="4" t="inlineStr">
        <is>
          <t>PRECOS     — escada de precos 1 / 3 / 6 meses.</t>
        </is>
      </c>
    </row>
    <row r="22">
      <c r="A22" s="4" t="inlineStr"/>
    </row>
    <row r="23">
      <c r="A23" s="3" t="inlineStr">
        <is>
          <t>AVISO SOBRE OS NUMEROS SEMENTE</t>
        </is>
      </c>
    </row>
    <row r="24">
      <c r="A24" s="4" t="inlineStr">
        <is>
          <t>Os custos de produto sao ESTIMATIVAS de ordem de grandeza, nao cotacao. Os ativos de marca do briefing</t>
        </is>
      </c>
    </row>
    <row r="25">
      <c r="A25" s="4" t="inlineStr">
        <is>
          <t>(GlucoVantage, Satiereal, Slendesta, Morosil, Capsimax) sao insumos licenciados e caros; extrato de acafrao</t>
        </is>
      </c>
    </row>
    <row r="26">
      <c r="A26" s="4" t="inlineStr">
        <is>
          <t>e di-hidroberberina tendem a ser os dois maiores componentes. Peca ao fabricante o custo POR ATIVO, nao so</t>
        </is>
      </c>
    </row>
    <row r="27">
      <c r="A27" s="4" t="inlineStr">
        <is>
          <t>o preco do frasco — sem isso voces nao conseguem negociar dose contra custo.</t>
        </is>
      </c>
    </row>
    <row r="28">
      <c r="A28" s="4" t="inlineStr">
        <is>
          <t>As taxas de funil sao referencias de mercado. Substitua pelos dados reais apos o primeiro webinar.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" customWidth="1" min="3" max="3"/>
    <col width="64" customWidth="1" min="4" max="4"/>
  </cols>
  <sheetData>
    <row r="1">
      <c r="A1" s="1" t="inlineStr">
        <is>
          <t>PREMISSAS</t>
        </is>
      </c>
    </row>
    <row r="2"/>
    <row r="3">
      <c r="A3" s="5" t="inlineStr">
        <is>
          <t>1. CUSTO UNITARIO DO PRODUTO (FOB fabricante, com frasco e rotulo)</t>
        </is>
      </c>
      <c r="B3" s="5" t="n"/>
      <c r="C3" s="5" t="n"/>
      <c r="D3" s="5" t="n"/>
    </row>
    <row r="4">
      <c r="A4" s="4" t="inlineStr">
        <is>
          <t>Principal — frasco 60 caps (30 dias)</t>
        </is>
      </c>
      <c r="B4" s="6" t="n">
        <v>14</v>
      </c>
      <c r="D4" s="2" t="inlineStr">
        <is>
          <t>SUBSTITUIR pela cotacao. Ativos de marca em dose clinica.</t>
        </is>
      </c>
    </row>
    <row r="5">
      <c r="A5" s="4" t="inlineStr">
        <is>
          <t>Brinde — po 30 dias</t>
        </is>
      </c>
      <c r="B5" s="6" t="n">
        <v>6</v>
      </c>
      <c r="D5" s="2" t="inlineStr">
        <is>
          <t>SUBSTITUIR. Cotar tambem pote de 60 dias.</t>
        </is>
      </c>
    </row>
    <row r="6">
      <c r="A6" s="4" t="inlineStr">
        <is>
          <t>Bump Glicemico — frasco 60 caps</t>
        </is>
      </c>
      <c r="B6" s="6" t="n">
        <v>4.5</v>
      </c>
      <c r="D6" s="2" t="inlineStr">
        <is>
          <t>SUBSTITUIR.</t>
        </is>
      </c>
    </row>
    <row r="7">
      <c r="A7" s="4" t="inlineStr">
        <is>
          <t>Bump Acelerador — frasco 60 caps</t>
        </is>
      </c>
      <c r="B7" s="6" t="n">
        <v>4.5</v>
      </c>
      <c r="D7" s="2" t="inlineStr">
        <is>
          <t>SUBSTITUIR.</t>
        </is>
      </c>
    </row>
    <row r="8">
      <c r="A8" s="4" t="inlineStr">
        <is>
          <t>Frete de entrada por unidade</t>
        </is>
      </c>
      <c r="B8" s="6" t="n">
        <v>0.4</v>
      </c>
      <c r="D8" s="2" t="inlineStr">
        <is>
          <t>Fabrica -&gt; 3PL, rateado.</t>
        </is>
      </c>
    </row>
    <row r="9"/>
    <row r="10">
      <c r="A10" s="5" t="inlineStr">
        <is>
          <t>2. COMPOSICAO DO PEDIDO (envio unico de 6 meses)</t>
        </is>
      </c>
      <c r="B10" s="5" t="n"/>
      <c r="C10" s="5" t="n"/>
      <c r="D10" s="5" t="n"/>
    </row>
    <row r="11">
      <c r="A11" s="4" t="inlineStr">
        <is>
          <t>Unidades do principal por pedido</t>
        </is>
      </c>
      <c r="B11" s="7" t="n">
        <v>6</v>
      </c>
      <c r="D11" s="2" t="inlineStr">
        <is>
          <t>6 frascos = 180 dias.</t>
        </is>
      </c>
    </row>
    <row r="12">
      <c r="A12" s="4" t="inlineStr">
        <is>
          <t>Unidades do brinde incluidas gratis</t>
        </is>
      </c>
      <c r="B12" s="7" t="n">
        <v>3</v>
      </c>
      <c r="D12" s="2" t="inlineStr">
        <is>
          <t>DEFINIDO: 6 meses de tratamento + 3 meses de brinde.</t>
        </is>
      </c>
    </row>
    <row r="13">
      <c r="A13" s="4" t="inlineStr">
        <is>
          <t>Unidades do bump glicemico</t>
        </is>
      </c>
      <c r="B13" s="7" t="n">
        <v>3</v>
      </c>
    </row>
    <row r="14">
      <c r="A14" s="4" t="inlineStr">
        <is>
          <t>Unidades do bump acelerador</t>
        </is>
      </c>
      <c r="B14" s="7" t="n">
        <v>3</v>
      </c>
    </row>
    <row r="15">
      <c r="A15" s="4" t="inlineStr">
        <is>
          <t>Take rate do bump glicemico</t>
        </is>
      </c>
      <c r="B15" s="8" t="n">
        <v>0.35</v>
      </c>
    </row>
    <row r="16">
      <c r="A16" s="4" t="inlineStr">
        <is>
          <t>Take rate do bump acelerador</t>
        </is>
      </c>
      <c r="B16" s="8" t="n">
        <v>0.25</v>
      </c>
    </row>
    <row r="17"/>
    <row r="18">
      <c r="A18" s="5" t="inlineStr">
        <is>
          <t>3. LOGISTICA E ATENDIMENTO</t>
        </is>
      </c>
      <c r="B18" s="5" t="n"/>
      <c r="C18" s="5" t="n"/>
      <c r="D18" s="5" t="n"/>
    </row>
    <row r="19">
      <c r="A19" s="4" t="inlineStr">
        <is>
          <t>Caixa de envio + inserto</t>
        </is>
      </c>
      <c r="B19" s="6" t="n">
        <v>3</v>
      </c>
    </row>
    <row r="20">
      <c r="A20" s="4" t="inlineStr">
        <is>
          <t>3PL — picking e packing por pedido</t>
        </is>
      </c>
      <c r="B20" s="6" t="n">
        <v>3.5</v>
      </c>
      <c r="D20" s="2" t="inlineStr">
        <is>
          <t>Confirmar com o 3PL.</t>
        </is>
      </c>
    </row>
    <row r="21">
      <c r="A21" s="4" t="inlineStr">
        <is>
          <t>Frete ao cliente — base</t>
        </is>
      </c>
      <c r="B21" s="6" t="n">
        <v>9</v>
      </c>
      <c r="D21" s="2" t="inlineStr">
        <is>
          <t>PEDIR AO 3PL. Caixa, nao envelope.</t>
        </is>
      </c>
    </row>
    <row r="22">
      <c r="A22" s="4" t="inlineStr">
        <is>
          <t>Frete ao cliente — adicional por unidade</t>
        </is>
      </c>
      <c r="B22" s="6" t="n">
        <v>0.6</v>
      </c>
      <c r="D22" s="2" t="inlineStr">
        <is>
          <t>Peso e volume crescem com a quantidade de frascos.</t>
        </is>
      </c>
    </row>
    <row r="23">
      <c r="A23" s="4" t="inlineStr">
        <is>
          <t>Armazenagem por pedido (rateio)</t>
        </is>
      </c>
      <c r="B23" s="6" t="n">
        <v>1.2</v>
      </c>
    </row>
    <row r="24">
      <c r="A24" s="4" t="inlineStr">
        <is>
          <t>Suporte ao cliente por pedido</t>
        </is>
      </c>
      <c r="B24" s="6" t="n">
        <v>3</v>
      </c>
      <c r="D24" s="2" t="inlineStr">
        <is>
          <t>Consumo de 6 meses gera mais ticket que 30 dias.</t>
        </is>
      </c>
    </row>
    <row r="25"/>
    <row r="26">
      <c r="A26" s="5" t="inlineStr">
        <is>
          <t>4. FUNIL — WEBINAR AO VIVO 20h</t>
        </is>
      </c>
      <c r="B26" s="5" t="n"/>
      <c r="C26" s="5" t="n"/>
      <c r="D26" s="5" t="n"/>
    </row>
    <row r="27">
      <c r="A27" s="4" t="inlineStr">
        <is>
          <t>Verba de midia no mes</t>
        </is>
      </c>
      <c r="B27" s="9" t="n">
        <v>30000</v>
      </c>
    </row>
    <row r="28">
      <c r="A28" s="4" t="inlineStr">
        <is>
          <t>CPL — custo por inscricao</t>
        </is>
      </c>
      <c r="B28" s="6" t="n">
        <v>5</v>
      </c>
      <c r="D28" s="2" t="inlineStr">
        <is>
          <t>Emagrecimento EUA. Medir e substituir.</t>
        </is>
      </c>
    </row>
    <row r="29">
      <c r="A29" s="4" t="inlineStr">
        <is>
          <t>Taxa de confirmacao no CRM</t>
        </is>
      </c>
      <c r="B29" s="8" t="n">
        <v>0.6</v>
      </c>
    </row>
    <row r="30">
      <c r="A30" s="4" t="inlineStr">
        <is>
          <t>Taxa de presenca (sobre inscritos)</t>
        </is>
      </c>
      <c r="B30" s="8" t="n">
        <v>0.42</v>
      </c>
      <c r="D30" s="2" t="inlineStr">
        <is>
          <t>Horario marcado tem show rate baixo.</t>
        </is>
      </c>
    </row>
    <row r="31">
      <c r="A31" s="4" t="inlineStr">
        <is>
          <t>Fica ate o pitch (1h15)</t>
        </is>
      </c>
      <c r="B31" s="8" t="n">
        <v>0.58</v>
      </c>
      <c r="D31" s="2" t="inlineStr">
        <is>
          <t>Sobre quem entrou na aula.</t>
        </is>
      </c>
    </row>
    <row r="32">
      <c r="A32" s="4" t="inlineStr">
        <is>
          <t>Conversao no checkout (sobre quem viu o pitch)</t>
        </is>
      </c>
      <c r="B32" s="8" t="n">
        <v>0.1</v>
      </c>
      <c r="D32" s="2" t="inlineStr">
        <is>
          <t>ALAVANCA MAIS SENSIVEL DO MODELO.</t>
        </is>
      </c>
    </row>
    <row r="33">
      <c r="A33" s="4" t="inlineStr">
        <is>
          <t>Uplift do time comercial na recuperacao</t>
        </is>
      </c>
      <c r="B33" s="8" t="n">
        <v>0.5</v>
      </c>
      <c r="D33" s="2" t="inlineStr">
        <is>
          <t>Vendas adicionais sobre o checkout automatico.</t>
        </is>
      </c>
    </row>
    <row r="34">
      <c r="A34" s="4" t="inlineStr">
        <is>
          <t>Custo mensal de CRM, e-mail, SMS e WhatsApp</t>
        </is>
      </c>
      <c r="B34" s="9" t="n">
        <v>1500</v>
      </c>
    </row>
    <row r="35"/>
    <row r="36">
      <c r="A36" s="5" t="inlineStr">
        <is>
          <t>5. TIME COMERCIAL (recuperacao por temperatura)</t>
        </is>
      </c>
      <c r="B36" s="5" t="n"/>
      <c r="C36" s="5" t="n"/>
      <c r="D36" s="5" t="n"/>
    </row>
    <row r="37">
      <c r="A37" s="4" t="inlineStr">
        <is>
          <t>Custo fixo mensal da equipe</t>
        </is>
      </c>
      <c r="B37" s="9" t="n">
        <v>9000</v>
      </c>
    </row>
    <row r="38">
      <c r="A38" s="4" t="inlineStr">
        <is>
          <t>Comissao sobre a receita recuperada</t>
        </is>
      </c>
      <c r="B38" s="8" t="n">
        <v>0.1</v>
      </c>
      <c r="D38" s="2" t="inlineStr">
        <is>
          <t>Somente sobre o que o comercial fecha.</t>
        </is>
      </c>
    </row>
    <row r="39"/>
    <row r="40">
      <c r="A40" s="5" t="inlineStr">
        <is>
          <t>6. PRECOS DA OFERTA</t>
        </is>
      </c>
      <c r="B40" s="5" t="n"/>
      <c r="C40" s="5" t="n"/>
      <c r="D40" s="5" t="n"/>
    </row>
    <row r="41">
      <c r="A41" s="4" t="inlineStr">
        <is>
          <t>Oferta principal — 6 meses</t>
        </is>
      </c>
      <c r="B41" s="6" t="n">
        <v>389</v>
      </c>
      <c r="D41" s="2" t="inlineStr">
        <is>
          <t>Preco-alvo definido.</t>
        </is>
      </c>
    </row>
    <row r="42">
      <c r="A42" s="4" t="inlineStr">
        <is>
          <t>Bump glicemico — 3 meses</t>
        </is>
      </c>
      <c r="B42" s="6" t="n">
        <v>97</v>
      </c>
    </row>
    <row r="43">
      <c r="A43" s="4" t="inlineStr">
        <is>
          <t>Bump acelerador — 3 meses</t>
        </is>
      </c>
      <c r="B43" s="6" t="n">
        <v>97</v>
      </c>
    </row>
    <row r="44">
      <c r="A44" s="4" t="inlineStr">
        <is>
          <t>Bump do po (meses 4-6) — preco</t>
        </is>
      </c>
      <c r="B44" s="6" t="n">
        <v>79</v>
      </c>
      <c r="D44" s="2" t="inlineStr">
        <is>
          <t>Meses do po nao incluidos, vendidos no checkout.</t>
        </is>
      </c>
    </row>
    <row r="45">
      <c r="A45" s="4" t="inlineStr">
        <is>
          <t>Bump do po — take rate</t>
        </is>
      </c>
      <c r="B45" s="8" t="n">
        <v>0.4</v>
      </c>
    </row>
    <row r="46">
      <c r="A46" s="4" t="inlineStr">
        <is>
          <t>MARGEM LIQUIDA ALVO</t>
        </is>
      </c>
      <c r="B46" s="8" t="n">
        <v>0.3</v>
      </c>
      <c r="D46" s="2" t="inlineStr">
        <is>
          <t>Meta do negocio. Usada nas abas TETO_COGS e GRADE.</t>
        </is>
      </c>
    </row>
    <row r="47"/>
    <row r="48">
      <c r="A48" s="5" t="inlineStr">
        <is>
          <t>7. PAGAMENTO, REEMBOLSO E CHARGEBACK</t>
        </is>
      </c>
      <c r="B48" s="5" t="n"/>
      <c r="C48" s="5" t="n"/>
      <c r="D48" s="5" t="n"/>
    </row>
    <row r="49">
      <c r="A49" s="4" t="inlineStr">
        <is>
          <t>Taxa do adquirente (alto risco)</t>
        </is>
      </c>
      <c r="B49" s="8" t="n">
        <v>0.045</v>
      </c>
      <c r="D49" s="2" t="inlineStr">
        <is>
          <t>Emagrecimento ticket alto = alto risco.</t>
        </is>
      </c>
    </row>
    <row r="50">
      <c r="A50" s="4" t="inlineStr">
        <is>
          <t>Taxa fixa por transacao</t>
        </is>
      </c>
      <c r="B50" s="6" t="n">
        <v>0.3</v>
      </c>
    </row>
    <row r="51">
      <c r="A51" s="4" t="inlineStr">
        <is>
          <t>Taxa de reembolso</t>
        </is>
      </c>
      <c r="B51" s="8" t="n">
        <v>0.12</v>
      </c>
      <c r="D51" s="2" t="inlineStr">
        <is>
          <t>Produto consumido nao retorna ao estoque.</t>
        </is>
      </c>
    </row>
    <row r="52">
      <c r="A52" s="4" t="inlineStr">
        <is>
          <t>Taxa de chargeback</t>
        </is>
      </c>
      <c r="B52" s="8" t="n">
        <v>0.01</v>
      </c>
      <c r="D52" s="2" t="inlineStr">
        <is>
          <t>Acima de 1% ha risco de perder o adquirente.</t>
        </is>
      </c>
    </row>
    <row r="53">
      <c r="A53" s="4" t="inlineStr">
        <is>
          <t>Custo por chargeback</t>
        </is>
      </c>
      <c r="B53" s="6" t="n">
        <v>25</v>
      </c>
    </row>
    <row r="54">
      <c r="A54" s="4" t="inlineStr">
        <is>
          <t>Reserva rolante retida</t>
        </is>
      </c>
      <c r="B54" s="8" t="n">
        <v>0.08</v>
      </c>
      <c r="D54" s="2" t="inlineStr">
        <is>
          <t>Fluxo de caixa, nao despesa.</t>
        </is>
      </c>
    </row>
    <row r="55"/>
    <row r="56">
      <c r="A56" s="5" t="inlineStr">
        <is>
          <t>8. CENARIO AFILIADOS (ClickBank / BuyGoods / Digistore24)</t>
        </is>
      </c>
      <c r="B56" s="5" t="n"/>
      <c r="C56" s="5" t="n"/>
      <c r="D56" s="5" t="n"/>
    </row>
    <row r="57">
      <c r="A57" s="4" t="inlineStr">
        <is>
          <t>Taxa da plataforma</t>
        </is>
      </c>
      <c r="B57" s="8" t="n">
        <v>0.075</v>
      </c>
    </row>
    <row r="58">
      <c r="A58" s="4" t="inlineStr">
        <is>
          <t>Taxa fixa da plataforma por transacao</t>
        </is>
      </c>
      <c r="B58" s="6" t="n">
        <v>1</v>
      </c>
    </row>
    <row r="59">
      <c r="A59" s="4" t="inlineStr">
        <is>
          <t>Comissao do afiliado (sobre o liquido)</t>
        </is>
      </c>
      <c r="B59" s="8" t="n">
        <v>0.5</v>
      </c>
      <c r="D59" s="2" t="inlineStr">
        <is>
          <t>Abaixo do mercado = nenhum afiliado promove.</t>
        </is>
      </c>
    </row>
    <row r="60">
      <c r="A60" s="4" t="inlineStr">
        <is>
          <t>Taxa de reembolso no trafego de afiliado</t>
        </is>
      </c>
      <c r="B60" s="8" t="n">
        <v>0.18</v>
      </c>
      <c r="D60" s="2" t="inlineStr">
        <is>
          <t>Costuma ser maior que no trafego proprio.</t>
        </is>
      </c>
    </row>
    <row r="61"/>
    <row r="62">
      <c r="A62" s="5" t="inlineStr">
        <is>
          <t>9. INVESTIMENTOS DE ENTRADA (uma vez)</t>
        </is>
      </c>
      <c r="B62" s="5" t="n"/>
      <c r="C62" s="5" t="n"/>
      <c r="D62" s="5" t="n"/>
    </row>
    <row r="63">
      <c r="A63" s="4" t="inlineStr">
        <is>
          <t>Producao do webinar e criativos</t>
        </is>
      </c>
      <c r="B63" s="9" t="n">
        <v>15000</v>
      </c>
      <c r="D63" s="2" t="inlineStr">
        <is>
          <t>Roteiro, copy, gravacao, edicao, paginas.</t>
        </is>
      </c>
    </row>
    <row r="64">
      <c r="A64" s="4" t="inlineStr">
        <is>
          <t>Revisao juridica FDA/FTC + checkout + TCPA</t>
        </is>
      </c>
      <c r="B64" s="9" t="n">
        <v>12000</v>
      </c>
      <c r="D64" s="2" t="inlineStr">
        <is>
          <t>Rotulo, roteiro, script do comercial, consentimento.</t>
        </is>
      </c>
    </row>
    <row r="65">
      <c r="A65" s="4" t="inlineStr">
        <is>
          <t>Marca, registro USPTO e identidade</t>
        </is>
      </c>
      <c r="B65" s="9" t="n">
        <v>18000</v>
      </c>
      <c r="D65" s="2" t="inlineStr">
        <is>
          <t>Clearance, design, embalagem.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52" customWidth="1" min="5" max="5"/>
  </cols>
  <sheetData>
    <row r="1">
      <c r="A1" s="1" t="inlineStr">
        <is>
          <t>CUSTO DE UM PEDIDO</t>
        </is>
      </c>
    </row>
    <row r="3">
      <c r="A3" s="5" t="inlineStr">
        <is>
          <t>PACOTE BASE — 6 meses do principal + brinde incluido</t>
        </is>
      </c>
      <c r="B3" s="5" t="n"/>
      <c r="C3" s="5" t="n"/>
      <c r="D3" s="5" t="n"/>
    </row>
    <row r="4">
      <c r="A4" s="10" t="inlineStr">
        <is>
          <t>Item</t>
        </is>
      </c>
      <c r="B4" s="10" t="inlineStr">
        <is>
          <t>Unid./pedido</t>
        </is>
      </c>
      <c r="C4" s="10" t="inlineStr">
        <is>
          <t>Custo unit.</t>
        </is>
      </c>
      <c r="D4" s="10" t="inlineStr">
        <is>
          <t>Total</t>
        </is>
      </c>
    </row>
    <row r="5">
      <c r="A5" s="4" t="inlineStr">
        <is>
          <t>Principal (60 caps)</t>
        </is>
      </c>
      <c r="B5" s="11">
        <f>Premissas!$B$11</f>
        <v/>
      </c>
      <c r="C5" s="12">
        <f>Premissas!$B$4</f>
        <v/>
      </c>
      <c r="D5" s="13">
        <f>B5*C5</f>
        <v/>
      </c>
    </row>
    <row r="6">
      <c r="A6" s="4" t="inlineStr">
        <is>
          <t>Brinde (po) incluido gratis</t>
        </is>
      </c>
      <c r="B6" s="11">
        <f>Premissas!$B$12</f>
        <v/>
      </c>
      <c r="C6" s="12">
        <f>Premissas!$B$5</f>
        <v/>
      </c>
      <c r="D6" s="13">
        <f>B6*C6</f>
        <v/>
      </c>
    </row>
    <row r="7">
      <c r="A7" s="4" t="inlineStr">
        <is>
          <t>Brinde (po) vendido no bump</t>
        </is>
      </c>
      <c r="B7" s="11">
        <f>Premissas!$B$45*(Premissas!$B$11-Premissas!$B$12)</f>
        <v/>
      </c>
      <c r="C7" s="12">
        <f>Premissas!$B$5</f>
        <v/>
      </c>
      <c r="D7" s="13">
        <f>B7*C7</f>
        <v/>
      </c>
    </row>
    <row r="8">
      <c r="A8" s="4" t="inlineStr">
        <is>
          <t>Frete de entrada</t>
        </is>
      </c>
      <c r="B8" s="14">
        <f>SUM(B5:B7)</f>
        <v/>
      </c>
      <c r="C8" s="12">
        <f>Premissas!$B$8</f>
        <v/>
      </c>
      <c r="D8" s="13">
        <f>B8*C8</f>
        <v/>
      </c>
    </row>
    <row r="9">
      <c r="A9" s="3" t="inlineStr">
        <is>
          <t>Produto do pacote base</t>
        </is>
      </c>
      <c r="D9" s="15">
        <f>SUM(D5:D8)</f>
        <v/>
      </c>
    </row>
    <row r="11">
      <c r="A11" s="5" t="inlineStr">
        <is>
          <t>BUMPS — custo esperado por pedido (ponderado pelo take rate)</t>
        </is>
      </c>
      <c r="B11" s="5" t="n"/>
      <c r="C11" s="5" t="n"/>
      <c r="D11" s="5" t="n"/>
    </row>
    <row r="12">
      <c r="A12" s="10" t="inlineStr">
        <is>
          <t>Item</t>
        </is>
      </c>
      <c r="B12" s="10" t="inlineStr">
        <is>
          <t>Unid. se levado</t>
        </is>
      </c>
      <c r="C12" s="10" t="inlineStr">
        <is>
          <t>Custo se levado</t>
        </is>
      </c>
      <c r="D12" s="10" t="inlineStr">
        <is>
          <t>Esperado/pedido</t>
        </is>
      </c>
    </row>
    <row r="13">
      <c r="A13" s="4" t="inlineStr">
        <is>
          <t>Bump Glicemico</t>
        </is>
      </c>
      <c r="B13" s="11">
        <f>Premissas!$B$13</f>
        <v/>
      </c>
      <c r="C13" s="13">
        <f>B13*(Premissas!$B$6+Premissas!$B$8)</f>
        <v/>
      </c>
      <c r="D13" s="13">
        <f>C13*Premissas!$B$15</f>
        <v/>
      </c>
    </row>
    <row r="14">
      <c r="A14" s="4" t="inlineStr">
        <is>
          <t>Bump Acelerador</t>
        </is>
      </c>
      <c r="B14" s="11">
        <f>Premissas!$B$14</f>
        <v/>
      </c>
      <c r="C14" s="13">
        <f>B14*(Premissas!$B$7+Premissas!$B$8)</f>
        <v/>
      </c>
      <c r="D14" s="13">
        <f>C14*Premissas!$B$16</f>
        <v/>
      </c>
    </row>
    <row r="15">
      <c r="A15" s="3" t="inlineStr">
        <is>
          <t>Bumps esperados por pedido</t>
        </is>
      </c>
      <c r="D15" s="15">
        <f>SUM(D13:D14)</f>
        <v/>
      </c>
    </row>
    <row r="17">
      <c r="A17" s="5" t="inlineStr">
        <is>
          <t>CUSTO TOTAL POR PEDIDO</t>
        </is>
      </c>
      <c r="B17" s="5" t="n"/>
      <c r="C17" s="5" t="n"/>
      <c r="D17" s="5" t="n"/>
    </row>
    <row r="18">
      <c r="A18" s="4" t="inlineStr">
        <is>
          <t>Produto (base + bumps esperados)</t>
        </is>
      </c>
      <c r="D18" s="13">
        <f>$D$9+$D$15</f>
        <v/>
      </c>
    </row>
    <row r="19">
      <c r="A19" s="4" t="inlineStr">
        <is>
          <t>Caixa e inserto</t>
        </is>
      </c>
      <c r="D19" s="13">
        <f>Premissas!$B$19</f>
        <v/>
      </c>
    </row>
    <row r="20">
      <c r="A20" s="4" t="inlineStr">
        <is>
          <t>3PL picking e packing</t>
        </is>
      </c>
      <c r="D20" s="13">
        <f>Premissas!$B$20</f>
        <v/>
      </c>
    </row>
    <row r="21">
      <c r="A21" s="4" t="inlineStr">
        <is>
          <t>Frete ao cliente</t>
        </is>
      </c>
      <c r="D21" s="13">
        <f>Premissas!$B$21+Custos!$B$8*Premissas!$B$22</f>
        <v/>
      </c>
    </row>
    <row r="22">
      <c r="A22" s="4" t="inlineStr">
        <is>
          <t>Armazenagem (rateio)</t>
        </is>
      </c>
      <c r="D22" s="13">
        <f>Premissas!$B$23</f>
        <v/>
      </c>
    </row>
    <row r="23">
      <c r="A23" s="4" t="inlineStr">
        <is>
          <t>Suporte ao cliente</t>
        </is>
      </c>
      <c r="D23" s="13">
        <f>Premissas!$B$24</f>
        <v/>
      </c>
    </row>
    <row r="24">
      <c r="A24" s="3" t="inlineStr">
        <is>
          <t>CUSTO TOTAL DE ENTREGA POR PEDIDO</t>
        </is>
      </c>
      <c r="D24" s="15">
        <f>SUM(D18:D23)</f>
        <v/>
      </c>
    </row>
    <row r="26">
      <c r="A26" s="3" t="inlineStr">
        <is>
          <t>Produto como % do preco da oferta</t>
        </is>
      </c>
      <c r="D26" s="16">
        <f>Custos!$D$18/Premissas!$B$41</f>
        <v/>
      </c>
      <c r="E26" s="2" t="inlineStr">
        <is>
          <t>Referencia do mercado de resposta direta: produto + logistica em 20-25% do preco.</t>
        </is>
      </c>
    </row>
    <row r="28">
      <c r="A28" s="5" t="inlineStr">
        <is>
          <t>CAPITAL DE ESTOQUE — quantos clientes um lote atende</t>
        </is>
      </c>
      <c r="B28" s="5" t="n"/>
      <c r="C28" s="5" t="n"/>
      <c r="D28" s="5" t="n"/>
      <c r="E28" s="5" t="n"/>
    </row>
    <row r="29" ht="28" customHeight="1">
      <c r="A29" s="17" t="inlineStr">
        <is>
          <t>Lote (un. do principal)</t>
        </is>
      </c>
      <c r="B29" s="17" t="inlineStr">
        <is>
          <t>Clientes atendidos</t>
        </is>
      </c>
      <c r="C29" s="17" t="inlineStr">
        <is>
          <t>Capital no principal</t>
        </is>
      </c>
      <c r="D29" s="17" t="inlineStr">
        <is>
          <t>Capital total do pacote</t>
        </is>
      </c>
    </row>
    <row r="30">
      <c r="A30" s="7" t="n">
        <v>1000</v>
      </c>
      <c r="B30" s="14">
        <f>A30/Premissas!$B$11</f>
        <v/>
      </c>
      <c r="C30" s="18">
        <f>A30*Premissas!$B$4</f>
        <v/>
      </c>
      <c r="D30" s="18">
        <f>B30*($D$9+$D$15)</f>
        <v/>
      </c>
      <c r="E30" s="2" t="inlineStr">
        <is>
          <t>Coluna A editavel. Cada cliente consome 6 unidades do principal:</t>
        </is>
      </c>
    </row>
    <row r="31">
      <c r="A31" s="7" t="n">
        <v>3000</v>
      </c>
      <c r="B31" s="14">
        <f>A31/Premissas!$B$11</f>
        <v/>
      </c>
      <c r="C31" s="18">
        <f>A31*Premissas!$B$4</f>
        <v/>
      </c>
      <c r="D31" s="18">
        <f>B31*($D$9+$D$15)</f>
        <v/>
      </c>
      <c r="E31" s="2" t="inlineStr">
        <is>
          <t>cote pensando em CLIENTES, nao em unidades. 5.000 un. = ~830 clientes.</t>
        </is>
      </c>
    </row>
    <row r="32">
      <c r="A32" s="7" t="n">
        <v>6000</v>
      </c>
      <c r="B32" s="14">
        <f>A32/Premissas!$B$11</f>
        <v/>
      </c>
      <c r="C32" s="18">
        <f>A32*Premissas!$B$4</f>
        <v/>
      </c>
      <c r="D32" s="18">
        <f>B32*($D$9+$D$15)</f>
        <v/>
      </c>
    </row>
    <row r="33">
      <c r="A33" s="7" t="n">
        <v>12000</v>
      </c>
      <c r="B33" s="14">
        <f>A33/Premissas!$B$11</f>
        <v/>
      </c>
      <c r="C33" s="18">
        <f>A33*Premissas!$B$4</f>
        <v/>
      </c>
      <c r="D33" s="18">
        <f>B33*($D$9+$D$15)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3" customWidth="1" min="3" max="3"/>
    <col width="60" customWidth="1" min="4" max="4"/>
  </cols>
  <sheetData>
    <row r="1">
      <c r="A1" s="1" t="inlineStr">
        <is>
          <t>FUNIL DO WEBINAR AO VIVO — VOLUME MENSAL</t>
        </is>
      </c>
    </row>
    <row r="3">
      <c r="A3" s="5" t="inlineStr">
        <is>
          <t>ETAPAS</t>
        </is>
      </c>
      <c r="B3" s="5" t="n"/>
      <c r="C3" s="5" t="n"/>
      <c r="D3" s="5" t="n"/>
    </row>
    <row r="4">
      <c r="A4" s="4" t="inlineStr">
        <is>
          <t>Verba de midia</t>
        </is>
      </c>
      <c r="B4" s="18">
        <f>Premissas!$B$27</f>
        <v/>
      </c>
    </row>
    <row r="5">
      <c r="A5" s="4" t="inlineStr">
        <is>
          <t>Inscricoes na aula</t>
        </is>
      </c>
      <c r="B5" s="14">
        <f>Premissas!$B$27/Premissas!$B$28</f>
        <v/>
      </c>
    </row>
    <row r="6">
      <c r="A6" s="4" t="inlineStr">
        <is>
          <t>Confirmaram no CRM</t>
        </is>
      </c>
      <c r="B6" s="14">
        <f>$B$5*Premissas!$B$29</f>
        <v/>
      </c>
    </row>
    <row r="7">
      <c r="A7" s="4" t="inlineStr">
        <is>
          <t>Entraram na aula</t>
        </is>
      </c>
      <c r="B7" s="14">
        <f>$B$5*Premissas!$B$30</f>
        <v/>
      </c>
    </row>
    <row r="8">
      <c r="A8" s="4" t="inlineStr">
        <is>
          <t>Ficaram ate o pitch (1h15)</t>
        </is>
      </c>
      <c r="B8" s="14">
        <f>$B$7*Premissas!$B$31</f>
        <v/>
      </c>
    </row>
    <row r="9">
      <c r="A9" s="4" t="inlineStr">
        <is>
          <t>Pedidos no checkout (automatico)</t>
        </is>
      </c>
      <c r="B9" s="14">
        <f>$B$8*Premissas!$B$32</f>
        <v/>
      </c>
    </row>
    <row r="10">
      <c r="A10" s="4" t="inlineStr">
        <is>
          <t>Pedidos recuperados pelo comercial</t>
        </is>
      </c>
      <c r="B10" s="14">
        <f>$B$9*Premissas!$B$33</f>
        <v/>
      </c>
    </row>
    <row r="11">
      <c r="A11" s="3" t="inlineStr">
        <is>
          <t>PEDIDOS PAGOS NO MES</t>
        </is>
      </c>
      <c r="B11" s="19">
        <f>$B$9+$B$10</f>
        <v/>
      </c>
    </row>
    <row r="13">
      <c r="A13" s="5" t="inlineStr">
        <is>
          <t>INDICADORES DE AQUISICAO</t>
        </is>
      </c>
      <c r="B13" s="5" t="n"/>
      <c r="C13" s="5" t="n"/>
      <c r="D13" s="5" t="n"/>
    </row>
    <row r="14">
      <c r="A14" s="4" t="inlineStr">
        <is>
          <t>Ticket medio por pedido</t>
        </is>
      </c>
      <c r="B14" s="13">
        <f>PnL!$B$3</f>
        <v/>
      </c>
    </row>
    <row r="15">
      <c r="A15" s="4" t="inlineStr">
        <is>
          <t>Receita bruta no mes</t>
        </is>
      </c>
      <c r="B15" s="18">
        <f>Funil!$B$11*Funil!$B$14</f>
        <v/>
      </c>
    </row>
    <row r="16">
      <c r="A16" s="4" t="inlineStr">
        <is>
          <t>CAC — custo de aquisicao por pedido</t>
        </is>
      </c>
      <c r="B16" s="13">
        <f>Premissas!$B$27/Funil!$B$11</f>
        <v/>
      </c>
      <c r="D16" s="2" t="inlineStr">
        <is>
          <t>Comparar com o CAC MAXIMO na aba PNL. Acima dele, o funil nao paga.</t>
        </is>
      </c>
    </row>
    <row r="17">
      <c r="A17" s="4" t="inlineStr">
        <is>
          <t>ROAS bruto</t>
        </is>
      </c>
      <c r="B17" s="20">
        <f>Funil!$B$15/Premissas!$B$27</f>
        <v/>
      </c>
    </row>
    <row r="18">
      <c r="A18" s="4" t="inlineStr">
        <is>
          <t>Conversao inscrito -&gt; pedido</t>
        </is>
      </c>
      <c r="B18" s="21">
        <f>Funil!$B$11/$B$5</f>
        <v/>
      </c>
    </row>
    <row r="19">
      <c r="A19" s="4" t="inlineStr">
        <is>
          <t>Custo por participante da aula</t>
        </is>
      </c>
      <c r="B19" s="13">
        <f>Premissas!$B$27/$B$7</f>
        <v/>
      </c>
    </row>
    <row r="21">
      <c r="A21" s="2" t="inlineStr">
        <is>
          <t>A recuperacao comercial trabalha do mais quente para o mais frio: erro de cartao, checkout aberto sem</t>
        </is>
      </c>
    </row>
    <row r="22">
      <c r="A22" s="2" t="inlineStr">
        <is>
          <t>preencher, clicou no link, ficou ate o fim sem clicar, assistiu metade. Cada faixa tem taxa propria —</t>
        </is>
      </c>
    </row>
    <row r="23">
      <c r="A23" s="2" t="inlineStr">
        <is>
          <t>quando houver dado real, abrir esta linha em cinco e medir cada uma separado.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54" customWidth="1" min="4" max="4"/>
  </cols>
  <sheetData>
    <row r="1">
      <c r="A1" s="1" t="inlineStr">
        <is>
          <t>RESULTADO POR PEDIDO</t>
        </is>
      </c>
    </row>
    <row r="2">
      <c r="B2" s="22" t="inlineStr">
        <is>
          <t>Venda direta</t>
        </is>
      </c>
      <c r="C2" s="22" t="inlineStr">
        <is>
          <t>Afiliado</t>
        </is>
      </c>
    </row>
    <row r="3">
      <c r="A3" s="4" t="inlineStr">
        <is>
          <t>Receita bruta media por pedido</t>
        </is>
      </c>
      <c r="B3" s="13">
        <f>Premissas!$B$41+Premissas!$B$42*Premissas!$B$15+Premissas!$B$43*Premissas!$B$16+Premissas!$B$44*Premissas!$B$45</f>
        <v/>
      </c>
      <c r="C3" s="13">
        <f>Premissas!$B$41+Premissas!$B$42*Premissas!$B$15+Premissas!$B$43*Premissas!$B$16+Premissas!$B$44*Premissas!$B$45</f>
        <v/>
      </c>
    </row>
    <row r="4">
      <c r="A4" s="4" t="inlineStr">
        <is>
          <t>(-) Reembolsos</t>
        </is>
      </c>
      <c r="B4" s="13">
        <f>-$B$3*Premissas!$B$51</f>
        <v/>
      </c>
      <c r="C4" s="13">
        <f>-$C$3*Premissas!$B$60</f>
        <v/>
      </c>
    </row>
    <row r="5">
      <c r="A5" s="4" t="inlineStr">
        <is>
          <t>(-) Chargebacks (receita perdida)</t>
        </is>
      </c>
      <c r="B5" s="13">
        <f>-$B$3*Premissas!$B$52</f>
        <v/>
      </c>
      <c r="C5" s="13">
        <f>-$C$3*Premissas!$B$52</f>
        <v/>
      </c>
    </row>
    <row r="6">
      <c r="A6" s="4" t="inlineStr">
        <is>
          <t>(-) Multa de chargeback</t>
        </is>
      </c>
      <c r="B6" s="13">
        <f>-Premissas!$B$53*Premissas!$B$52</f>
        <v/>
      </c>
      <c r="C6" s="13">
        <f>-Premissas!$B$53*Premissas!$B$52</f>
        <v/>
      </c>
    </row>
    <row r="7">
      <c r="A7" s="3" t="inlineStr">
        <is>
          <t>(=) Receita liquida</t>
        </is>
      </c>
      <c r="B7" s="15">
        <f>SUM(B3:B6)</f>
        <v/>
      </c>
      <c r="C7" s="15">
        <f>SUM(C3:C6)</f>
        <v/>
      </c>
    </row>
    <row r="9">
      <c r="A9" s="4" t="inlineStr">
        <is>
          <t>(-) Produto (COGS)</t>
        </is>
      </c>
      <c r="B9" s="13">
        <f>-Custos!$D$18</f>
        <v/>
      </c>
      <c r="C9" s="13">
        <f>-Custos!$D$18</f>
        <v/>
      </c>
    </row>
    <row r="10">
      <c r="A10" s="4" t="inlineStr">
        <is>
          <t>(-) Embalagem, 3PL, frete, armazenagem, suporte</t>
        </is>
      </c>
      <c r="B10" s="13">
        <f>-(Custos!$D$24-Custos!$D$18)</f>
        <v/>
      </c>
      <c r="C10" s="13">
        <f>-(Custos!$D$24-Custos!$D$18)</f>
        <v/>
      </c>
    </row>
    <row r="11">
      <c r="A11" s="4" t="inlineStr">
        <is>
          <t>(-) Processamento / plataforma</t>
        </is>
      </c>
      <c r="B11" s="13">
        <f>-($B$3*Premissas!$B$49+Premissas!$B$50)</f>
        <v/>
      </c>
      <c r="C11" s="13">
        <f>-($C$3*Premissas!$B$57+Premissas!$B$58)</f>
        <v/>
      </c>
    </row>
    <row r="12">
      <c r="A12" s="3" t="inlineStr">
        <is>
          <t>(=) Margem de contribuicao (antes de aquisicao)</t>
        </is>
      </c>
      <c r="B12" s="15">
        <f>$B$7+SUM(B9:B11)</f>
        <v/>
      </c>
      <c r="C12" s="15">
        <f>$C$7+SUM(C9:C11)</f>
        <v/>
      </c>
    </row>
    <row r="14">
      <c r="A14" s="4" t="inlineStr">
        <is>
          <t>(-) Midia / comissao do afiliado</t>
        </is>
      </c>
      <c r="B14" s="13">
        <f>-Funil!$B$16</f>
        <v/>
      </c>
      <c r="C14" s="13">
        <f>-$C$7*Premissas!$B$59</f>
        <v/>
      </c>
    </row>
    <row r="15">
      <c r="A15" s="4" t="inlineStr">
        <is>
          <t>(-) Comercial: comissao sobre recuperado</t>
        </is>
      </c>
      <c r="B15" s="13">
        <f>-$B$3*Premissas!$B$38*(Funil!$B$10/Funil!$B$11)</f>
        <v/>
      </c>
      <c r="C15" s="13">
        <f>0</f>
        <v/>
      </c>
    </row>
    <row r="16">
      <c r="A16" s="4" t="inlineStr">
        <is>
          <t>(-) Comercial: custo fixo rateado</t>
        </is>
      </c>
      <c r="B16" s="13">
        <f>-Premissas!$B$37/Funil!$B$11</f>
        <v/>
      </c>
      <c r="C16" s="13">
        <f>0</f>
        <v/>
      </c>
    </row>
    <row r="17">
      <c r="A17" s="4" t="inlineStr">
        <is>
          <t>(-) CRM, e-mail, SMS, WhatsApp (rateado)</t>
        </is>
      </c>
      <c r="B17" s="13">
        <f>-Premissas!$B$34/Funil!$B$11</f>
        <v/>
      </c>
      <c r="C17" s="13">
        <f>0</f>
        <v/>
      </c>
    </row>
    <row r="18">
      <c r="A18" s="3" t="inlineStr">
        <is>
          <t>MARGEM LIQUIDA POR PEDIDO</t>
        </is>
      </c>
      <c r="B18" s="15">
        <f>$B$12+SUM(B14:B17)</f>
        <v/>
      </c>
      <c r="C18" s="15">
        <f>$C$12+SUM(C14:C17)</f>
        <v/>
      </c>
    </row>
    <row r="19">
      <c r="A19" s="4" t="inlineStr">
        <is>
          <t>Margem liquida %</t>
        </is>
      </c>
      <c r="B19" s="21">
        <f>$B$18/$B$3</f>
        <v/>
      </c>
      <c r="C19" s="21">
        <f>$C$18/$C$3</f>
        <v/>
      </c>
    </row>
    <row r="21">
      <c r="A21" s="5" t="inlineStr">
        <is>
          <t>METAS — CAC e custo de produto compativeis com a margem alvo</t>
        </is>
      </c>
      <c r="B21" s="5" t="n"/>
      <c r="C21" s="5" t="n"/>
      <c r="D21" s="5" t="n"/>
    </row>
    <row r="22">
      <c r="A22" s="3" t="inlineStr">
        <is>
          <t>CAC maximo no breakeven</t>
        </is>
      </c>
      <c r="B22" s="15">
        <f>$B$12-$B$3*Premissas!$B$38*(Funil!$B$10/Funil!$B$11)-(Premissas!$B$37+Premissas!$B$34)/Funil!$B$11</f>
        <v/>
      </c>
    </row>
    <row r="23">
      <c r="A23" s="4" t="inlineStr">
        <is>
          <t>CAC maximo com 20% de margem liquida</t>
        </is>
      </c>
      <c r="B23" s="13">
        <f>$B$22-$B$3*0.2</f>
        <v/>
      </c>
    </row>
    <row r="24">
      <c r="A24" s="4" t="inlineStr">
        <is>
          <t>CAC atual do funil</t>
        </is>
      </c>
      <c r="B24" s="13">
        <f>Funil!$B$16</f>
        <v/>
      </c>
    </row>
    <row r="25">
      <c r="A25" s="3" t="inlineStr">
        <is>
          <t>Folga (CAC max na meta menos CAC atual)</t>
        </is>
      </c>
      <c r="B25" s="15">
        <f>$B$22-$B$3*Premissas!$B$46-Funil!$B$16</f>
        <v/>
      </c>
      <c r="D25" s="2" t="inlineStr">
        <is>
          <t>Negativo = o funil nao fecha no preco e custo atuais.</t>
        </is>
      </c>
    </row>
    <row r="26">
      <c r="A26" s="3" t="inlineStr">
        <is>
          <t>Custo de produto MAXIMO dado o CAC atual</t>
        </is>
      </c>
      <c r="B26" s="15">
        <f>Custos!$D$18+$B$22-$B$3*Premissas!$B$46-Funil!$B$16</f>
        <v/>
      </c>
      <c r="D26" s="2" t="inlineStr">
        <is>
          <t>Alvo a levar para a negociacao com o fabricante, na margem meta.</t>
        </is>
      </c>
    </row>
    <row r="27">
      <c r="A27" s="4" t="inlineStr">
        <is>
          <t>Custo de produto atual</t>
        </is>
      </c>
      <c r="B27" s="13">
        <f>Custos!$D$18</f>
        <v/>
      </c>
    </row>
    <row r="29">
      <c r="A29" s="5" t="inlineStr">
        <is>
          <t>RESULTADO MENSAL — VENDA DIRETA</t>
        </is>
      </c>
      <c r="B29" s="5" t="n"/>
      <c r="C29" s="5" t="n"/>
      <c r="D29" s="5" t="n"/>
    </row>
    <row r="30">
      <c r="A30" s="4" t="inlineStr">
        <is>
          <t>Pedidos pagos no mes</t>
        </is>
      </c>
      <c r="B30" s="14">
        <f>Funil!$B$11</f>
        <v/>
      </c>
    </row>
    <row r="31">
      <c r="A31" s="4" t="inlineStr">
        <is>
          <t>Receita bruta</t>
        </is>
      </c>
      <c r="B31" s="18">
        <f>B30*$B$3</f>
        <v/>
      </c>
    </row>
    <row r="32">
      <c r="A32" s="3" t="inlineStr">
        <is>
          <t>Margem liquida total</t>
        </is>
      </c>
      <c r="B32" s="23">
        <f>B30*$B$18</f>
        <v/>
      </c>
    </row>
    <row r="33">
      <c r="A33" s="4" t="inlineStr">
        <is>
          <t>Reserva rolante retida no mes</t>
        </is>
      </c>
      <c r="B33" s="18">
        <f>B31*Premissas!$B$54</f>
        <v/>
      </c>
      <c r="D33" s="2" t="inlineStr">
        <is>
          <t>Caixa retido pelo adquirente, tipicamente 6 meses. Nao e custo, mas trava capital de giro.</t>
        </is>
      </c>
    </row>
    <row r="35">
      <c r="A35" s="2" t="inlineStr">
        <is>
          <t>No cenario de afiliado a comissao substitui a midia e o comercial nao atua — afiliado exige funil evergreen</t>
        </is>
      </c>
    </row>
    <row r="36">
      <c r="A36" s="2" t="inlineStr">
        <is>
          <t>que roda sozinho. O webinar ao vivo das 20h nao porta para ClickBank como esta: primeiro voces provam a</t>
        </is>
      </c>
    </row>
    <row r="37">
      <c r="A37" s="2" t="inlineStr">
        <is>
          <t>conversao com trafego proprio, depois transformam a melhor aula em VSL automatizado e so entao abrem a afiliados.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O QUE FAZER COM OS MESES 4 A 6 DO PO — preco de $389</t>
        </is>
      </c>
    </row>
    <row r="2">
      <c r="A2" s="2" t="inlineStr">
        <is>
          <t>O brinde de 6 meses e a maior alavanca de custo do pedido. Aqui esta o efeito de encurta-lo.</t>
        </is>
      </c>
    </row>
    <row r="4" ht="44" customHeight="1">
      <c r="A4" s="24" t="inlineStr"/>
      <c r="B4" s="24" t="inlineStr">
        <is>
          <t>1 — 3 meses de brinde, sem bump do po</t>
        </is>
      </c>
      <c r="C4" s="24" t="inlineStr">
        <is>
          <t>2 — 3 meses + meses 4-6 no bump a $79</t>
        </is>
      </c>
      <c r="D4" s="24" t="inlineStr">
        <is>
          <t>3 — 3 meses + meses 4-6 no bump a $97</t>
        </is>
      </c>
    </row>
    <row r="5">
      <c r="A5" s="4" t="inlineStr">
        <is>
          <t>Unid. do brinde incluidas gratis</t>
        </is>
      </c>
      <c r="B5" s="7" t="n">
        <v>3</v>
      </c>
      <c r="C5" s="7" t="n">
        <v>3</v>
      </c>
      <c r="D5" s="7" t="n">
        <v>3</v>
      </c>
    </row>
    <row r="6">
      <c r="A6" s="4" t="inlineStr">
        <is>
          <t>Preco do bump do po (meses 4-6)</t>
        </is>
      </c>
      <c r="B6" s="9" t="n">
        <v>0</v>
      </c>
      <c r="C6" s="9" t="n">
        <v>79</v>
      </c>
      <c r="D6" s="9" t="n">
        <v>97</v>
      </c>
    </row>
    <row r="7">
      <c r="A7" s="4" t="inlineStr">
        <is>
          <t>Take rate do bump do po</t>
        </is>
      </c>
      <c r="B7" s="8" t="n">
        <v>0</v>
      </c>
      <c r="C7" s="8" t="n">
        <v>0.4</v>
      </c>
      <c r="D7" s="8" t="n">
        <v>0.3</v>
      </c>
    </row>
    <row r="9">
      <c r="A9" s="4" t="inlineStr">
        <is>
          <t>Receita bruta por pedido</t>
        </is>
      </c>
      <c r="B9" s="13">
        <f>Premissas!$B$41+Premissas!$B$42*Premissas!$B$15+Premissas!$B$43*Premissas!$B$16+B6*B7</f>
        <v/>
      </c>
      <c r="C9" s="13">
        <f>Premissas!$B$41+Premissas!$B$42*Premissas!$B$15+Premissas!$B$43*Premissas!$B$16+C6*C7</f>
        <v/>
      </c>
      <c r="D9" s="13">
        <f>Premissas!$B$41+Premissas!$B$42*Premissas!$B$15+Premissas!$B$43*Premissas!$B$16+D6*D7</f>
        <v/>
      </c>
    </row>
    <row r="10">
      <c r="A10" s="4" t="inlineStr">
        <is>
          <t>Unidades fisicas enviadas</t>
        </is>
      </c>
      <c r="B10" s="14">
        <f>Premissas!$B$11+B5+B7*(6-B5)+Premissas!$B$13*Premissas!$B$15+Premissas!$B$14*Premissas!$B$16</f>
        <v/>
      </c>
      <c r="C10" s="14">
        <f>Premissas!$B$11+C5+C7*(6-C5)+Premissas!$B$13*Premissas!$B$15+Premissas!$B$14*Premissas!$B$16</f>
        <v/>
      </c>
      <c r="D10" s="14">
        <f>Premissas!$B$11+D5+D7*(6-D5)+Premissas!$B$13*Premissas!$B$15+Premissas!$B$14*Premissas!$B$16</f>
        <v/>
      </c>
    </row>
    <row r="11">
      <c r="A11" s="4" t="inlineStr">
        <is>
          <t>Custo do produto por pedido</t>
        </is>
      </c>
      <c r="B11" s="13">
        <f>Premissas!$B$11*Premissas!$B$4+B5*Premissas!$B$5+B7*(6-B5)*Premissas!$B$5+B10*Premissas!$B$8+Custos!$D$15</f>
        <v/>
      </c>
      <c r="C11" s="13">
        <f>Premissas!$B$11*Premissas!$B$4+C5*Premissas!$B$5+C7*(6-C5)*Premissas!$B$5+C10*Premissas!$B$8+Custos!$D$15</f>
        <v/>
      </c>
      <c r="D11" s="13">
        <f>Premissas!$B$11*Premissas!$B$4+D5*Premissas!$B$5+D7*(6-D5)*Premissas!$B$5+D10*Premissas!$B$8+Custos!$D$15</f>
        <v/>
      </c>
    </row>
    <row r="12">
      <c r="A12" s="4" t="inlineStr">
        <is>
          <t>Frete ao cliente</t>
        </is>
      </c>
      <c r="B12" s="13">
        <f>Premissas!$B$21+B10*Premissas!$B$22</f>
        <v/>
      </c>
      <c r="C12" s="13">
        <f>Premissas!$B$21+C10*Premissas!$B$22</f>
        <v/>
      </c>
      <c r="D12" s="13">
        <f>Premissas!$B$21+D10*Premissas!$B$22</f>
        <v/>
      </c>
    </row>
    <row r="13">
      <c r="A13" s="4" t="inlineStr">
        <is>
          <t>Outros custos de entrega</t>
        </is>
      </c>
      <c r="B13" s="13">
        <f>Premissas!$B$19+Premissas!$B$20+Premissas!$B$23+Premissas!$B$24</f>
        <v/>
      </c>
      <c r="C13" s="13">
        <f>Premissas!$B$19+Premissas!$B$20+Premissas!$B$23+Premissas!$B$24</f>
        <v/>
      </c>
      <c r="D13" s="13">
        <f>Premissas!$B$19+Premissas!$B$20+Premissas!$B$23+Premissas!$B$24</f>
        <v/>
      </c>
    </row>
    <row r="14">
      <c r="A14" s="4" t="inlineStr">
        <is>
          <t>Perdas (reembolso + chargeback)</t>
        </is>
      </c>
      <c r="B14" s="13">
        <f>B9*(Premissas!$B$51+Premissas!$B$52)+Premissas!$B$53*Premissas!$B$52</f>
        <v/>
      </c>
      <c r="C14" s="13">
        <f>C9*(Premissas!$B$51+Premissas!$B$52)+Premissas!$B$53*Premissas!$B$52</f>
        <v/>
      </c>
      <c r="D14" s="13">
        <f>D9*(Premissas!$B$51+Premissas!$B$52)+Premissas!$B$53*Premissas!$B$52</f>
        <v/>
      </c>
    </row>
    <row r="15">
      <c r="A15" s="4" t="inlineStr">
        <is>
          <t>Processamento</t>
        </is>
      </c>
      <c r="B15" s="13">
        <f>B9*Premissas!$B$49+Premissas!$B$50</f>
        <v/>
      </c>
      <c r="C15" s="13">
        <f>C9*Premissas!$B$49+Premissas!$B$50</f>
        <v/>
      </c>
      <c r="D15" s="13">
        <f>D9*Premissas!$B$49+Premissas!$B$50</f>
        <v/>
      </c>
    </row>
    <row r="16">
      <c r="A16" s="3" t="inlineStr">
        <is>
          <t>(=) Margem de contribuicao</t>
        </is>
      </c>
      <c r="B16" s="15">
        <f>B9-B11-B12-B13-B14-B15</f>
        <v/>
      </c>
      <c r="C16" s="15">
        <f>C9-C11-C12-C13-C14-C15</f>
        <v/>
      </c>
      <c r="D16" s="15">
        <f>D9-D11-D12-D13-D14-D15</f>
        <v/>
      </c>
    </row>
    <row r="18">
      <c r="A18" s="4" t="inlineStr">
        <is>
          <t>Produto como % da receita</t>
        </is>
      </c>
      <c r="B18" s="21">
        <f>B11/B9</f>
        <v/>
      </c>
      <c r="C18" s="21">
        <f>C11/C9</f>
        <v/>
      </c>
      <c r="D18" s="21">
        <f>D11/D9</f>
        <v/>
      </c>
      <c r="E18" s="2" t="inlineStr">
        <is>
          <t>Alvo do mercado: 20-25%.</t>
        </is>
      </c>
    </row>
    <row r="19">
      <c r="A19" s="3" t="inlineStr">
        <is>
          <t>CAC maximo na margem alvo</t>
        </is>
      </c>
      <c r="B19" s="15">
        <f>B16-B9*Premissas!$B$46-B9*Premissas!$B$38*(Funil!$B$10/Funil!$B$11)-(Premissas!$B$37+Premissas!$B$34)/Funil!$B$11</f>
        <v/>
      </c>
      <c r="C19" s="15">
        <f>C16-C9*Premissas!$B$46-C9*Premissas!$B$38*(Funil!$B$10/Funil!$B$11)-(Premissas!$B$37+Premissas!$B$34)/Funil!$B$11</f>
        <v/>
      </c>
      <c r="D19" s="15">
        <f>D16-D9*Premissas!$B$46-D9*Premissas!$B$38*(Funil!$B$10/Funil!$B$11)-(Premissas!$B$37+Premissas!$B$34)/Funil!$B$11</f>
        <v/>
      </c>
      <c r="E19" s="2" t="inlineStr">
        <is>
          <t>Quanto voces podem pagar por pedido e ainda bater a margem alvo.</t>
        </is>
      </c>
    </row>
    <row r="20">
      <c r="A20" s="4" t="inlineStr">
        <is>
          <t>CAC atual do funil</t>
        </is>
      </c>
      <c r="B20" s="13">
        <f>Funil!$B$16</f>
        <v/>
      </c>
      <c r="C20" s="13">
        <f>Funil!$B$16</f>
        <v/>
      </c>
      <c r="D20" s="13">
        <f>Funil!$B$16</f>
        <v/>
      </c>
    </row>
    <row r="21">
      <c r="A21" s="3" t="inlineStr">
        <is>
          <t>Folga</t>
        </is>
      </c>
      <c r="B21" s="15">
        <f>B19-B20</f>
        <v/>
      </c>
      <c r="C21" s="15">
        <f>C19-C20</f>
        <v/>
      </c>
      <c r="D21" s="15">
        <f>D19-D20</f>
        <v/>
      </c>
    </row>
    <row r="22">
      <c r="A22" s="4" t="inlineStr">
        <is>
          <t>Viavel?</t>
        </is>
      </c>
      <c r="B22" s="25">
        <f>IF(B21&gt;=0,"SIM","NAO")</f>
        <v/>
      </c>
      <c r="C22" s="25">
        <f>IF(C21&gt;=0,"SIM","NAO")</f>
        <v/>
      </c>
      <c r="D22" s="25">
        <f>IF(D21&gt;=0,"SIM","NAO")</f>
        <v/>
      </c>
    </row>
    <row r="25">
      <c r="A25" s="5" t="inlineStr">
        <is>
          <t>LEITURA</t>
        </is>
      </c>
      <c r="B25" s="5" t="n"/>
      <c r="C25" s="5" t="n"/>
      <c r="D25" s="5" t="n"/>
      <c r="E25" s="5" t="n"/>
    </row>
    <row r="26">
      <c r="A26" s="4" t="inlineStr">
        <is>
          <t>Config 1 — os 3 meses restantes simplesmente nao existem na oferta. E a mais simples de comunicar</t>
        </is>
      </c>
    </row>
    <row r="27">
      <c r="A27" s="4" t="inlineStr">
        <is>
          <t>no pitch e a que gera menos receita. O po acaba no mes 3 e a cliente segue 3 meses so com o principal.</t>
        </is>
      </c>
    </row>
    <row r="28">
      <c r="A28" s="2" t="inlineStr"/>
    </row>
    <row r="29">
      <c r="A29" s="4" t="inlineStr">
        <is>
          <t>Config 2 — os meses 4 a 6 do po viram bump de $79 no checkout. Mantem o protocolo completo disponivel,</t>
        </is>
      </c>
    </row>
    <row r="30">
      <c r="A30" s="4" t="inlineStr">
        <is>
          <t>cria receita onde antes havia custo, e o argumento de venda e natural: 'complete o protocolo'.</t>
        </is>
      </c>
    </row>
    <row r="31">
      <c r="A31" s="2" t="inlineStr"/>
    </row>
    <row r="32">
      <c r="A32" s="4" t="inlineStr">
        <is>
          <t>Config 3 — mesmo desenho a $97. Take rate tende a cair, mas a receita por pedido pode compensar.</t>
        </is>
      </c>
    </row>
    <row r="33">
      <c r="A33" s="4" t="inlineStr">
        <is>
          <t>Testar os dois precos no checkout e barato e resolve a duvida em duas semanas de trafego.</t>
        </is>
      </c>
    </row>
    <row r="34">
      <c r="A34" s="2" t="inlineStr"/>
    </row>
    <row r="35">
      <c r="A35" s="4" t="inlineStr">
        <is>
          <t>Recomendacao: Config 2. Os 3 meses gratis cobrem com folga a janela em que o po faz o trabalho de gerar</t>
        </is>
      </c>
    </row>
    <row r="36">
      <c r="A36" s="4" t="inlineStr">
        <is>
          <t>resultado visivel e segurar a cliente no protocolo, e o bump recupera parte do custo sem tirar nada de</t>
        </is>
      </c>
    </row>
    <row r="37">
      <c r="A37" s="4" t="inlineStr">
        <is>
          <t>quem nao quiser comprar. Compare a linha FOLGA nas tres colunas antes de decidir.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TETO DE CUSTO DO PRODUTO</t>
        </is>
      </c>
    </row>
    <row r="2">
      <c r="A2" s="2" t="inlineStr">
        <is>
          <t>Dado o preco e a margem desejada, quanto o produto PODE custar — e se a formula com dose clinica cabe.</t>
        </is>
      </c>
    </row>
    <row r="4">
      <c r="A4" s="4" t="inlineStr">
        <is>
          <t>Margem liquida alvo (vem de PREMISSAS)</t>
        </is>
      </c>
      <c r="B4" s="26">
        <f>Premissas!$B$46</f>
        <v/>
      </c>
    </row>
    <row r="6" ht="30" customHeight="1">
      <c r="A6" s="24" t="inlineStr">
        <is>
          <t>Preco 6 meses</t>
        </is>
      </c>
      <c r="B6" s="24" t="inlineStr">
        <is>
          <t>Receita/pedido</t>
        </is>
      </c>
      <c r="C6" s="24" t="inlineStr">
        <is>
          <t>Custo max. do produto</t>
        </is>
      </c>
      <c r="D6" s="24" t="inlineStr">
        <is>
          <t>Custo max. por unidade</t>
        </is>
      </c>
      <c r="E6" s="24" t="inlineStr">
        <is>
          <t>Custo atual</t>
        </is>
      </c>
      <c r="F6" s="24" t="inlineStr">
        <is>
          <t>Cabe?</t>
        </is>
      </c>
    </row>
    <row r="7">
      <c r="A7" s="9" t="n">
        <v>294</v>
      </c>
      <c r="B7" s="13">
        <f>A7+Premissas!$B$42*Premissas!$B$15+Premissas!$B$43*Premissas!$B$16+Premissas!$B$44*Premissas!$B$45</f>
        <v/>
      </c>
      <c r="C7" s="13">
        <f>B7*(1-Premissas!$B$51-Premissas!$B$52)-Premissas!$B$53*Premissas!$B$52-(B7*Premissas!$B$49+Premissas!$B$50)-(Custos!$D$24-Custos!$D$18)-Funil!$B$16-B7*Premissas!$B$38*(Funil!$B$10/Funil!$B$11)-(Premissas!$B$37+Premissas!$B$34)/Funil!$B$11-B7*$B$4</f>
        <v/>
      </c>
      <c r="D7" s="13">
        <f>IFERROR(C7/Custos!$B$8,0)</f>
        <v/>
      </c>
      <c r="E7" s="12">
        <f>Custos!$D$18</f>
        <v/>
      </c>
      <c r="F7" s="27">
        <f>IF(C7&gt;=E7,"SIM","NAO")</f>
        <v/>
      </c>
    </row>
    <row r="8">
      <c r="A8" s="9" t="n">
        <v>340</v>
      </c>
      <c r="B8" s="13">
        <f>A8+Premissas!$B$42*Premissas!$B$15+Premissas!$B$43*Premissas!$B$16+Premissas!$B$44*Premissas!$B$45</f>
        <v/>
      </c>
      <c r="C8" s="13">
        <f>B8*(1-Premissas!$B$51-Premissas!$B$52)-Premissas!$B$53*Premissas!$B$52-(B8*Premissas!$B$49+Premissas!$B$50)-(Custos!$D$24-Custos!$D$18)-Funil!$B$16-B8*Premissas!$B$38*(Funil!$B$10/Funil!$B$11)-(Premissas!$B$37+Premissas!$B$34)/Funil!$B$11-B8*$B$4</f>
        <v/>
      </c>
      <c r="D8" s="13">
        <f>IFERROR(C8/Custos!$B$8,0)</f>
        <v/>
      </c>
      <c r="E8" s="12">
        <f>Custos!$D$18</f>
        <v/>
      </c>
      <c r="F8" s="27">
        <f>IF(C8&gt;=E8,"SIM","NAO")</f>
        <v/>
      </c>
    </row>
    <row r="9">
      <c r="A9" s="9" t="n">
        <v>389</v>
      </c>
      <c r="B9" s="13">
        <f>A9+Premissas!$B$42*Premissas!$B$15+Premissas!$B$43*Premissas!$B$16+Premissas!$B$44*Premissas!$B$45</f>
        <v/>
      </c>
      <c r="C9" s="13">
        <f>B9*(1-Premissas!$B$51-Premissas!$B$52)-Premissas!$B$53*Premissas!$B$52-(B9*Premissas!$B$49+Premissas!$B$50)-(Custos!$D$24-Custos!$D$18)-Funil!$B$16-B9*Premissas!$B$38*(Funil!$B$10/Funil!$B$11)-(Premissas!$B$37+Premissas!$B$34)/Funil!$B$11-B9*$B$4</f>
        <v/>
      </c>
      <c r="D9" s="13">
        <f>IFERROR(C9/Custos!$B$8,0)</f>
        <v/>
      </c>
      <c r="E9" s="12">
        <f>Custos!$D$18</f>
        <v/>
      </c>
      <c r="F9" s="27">
        <f>IF(C9&gt;=E9,"SIM","NAO")</f>
        <v/>
      </c>
    </row>
    <row r="10">
      <c r="A10" s="9" t="n">
        <v>440</v>
      </c>
      <c r="B10" s="13">
        <f>A10+Premissas!$B$42*Premissas!$B$15+Premissas!$B$43*Premissas!$B$16+Premissas!$B$44*Premissas!$B$45</f>
        <v/>
      </c>
      <c r="C10" s="13">
        <f>B10*(1-Premissas!$B$51-Premissas!$B$52)-Premissas!$B$53*Premissas!$B$52-(B10*Premissas!$B$49+Premissas!$B$50)-(Custos!$D$24-Custos!$D$18)-Funil!$B$16-B10*Premissas!$B$38*(Funil!$B$10/Funil!$B$11)-(Premissas!$B$37+Premissas!$B$34)/Funil!$B$11-B10*$B$4</f>
        <v/>
      </c>
      <c r="D10" s="13">
        <f>IFERROR(C10/Custos!$B$8,0)</f>
        <v/>
      </c>
      <c r="E10" s="12">
        <f>Custos!$D$18</f>
        <v/>
      </c>
      <c r="F10" s="27">
        <f>IF(C10&gt;=E10,"SIM","NAO")</f>
        <v/>
      </c>
    </row>
    <row r="11">
      <c r="A11" s="9" t="n">
        <v>497</v>
      </c>
      <c r="B11" s="13">
        <f>A11+Premissas!$B$42*Premissas!$B$15+Premissas!$B$43*Premissas!$B$16+Premissas!$B$44*Premissas!$B$45</f>
        <v/>
      </c>
      <c r="C11" s="13">
        <f>B11*(1-Premissas!$B$51-Premissas!$B$52)-Premissas!$B$53*Premissas!$B$52-(B11*Premissas!$B$49+Premissas!$B$50)-(Custos!$D$24-Custos!$D$18)-Funil!$B$16-B11*Premissas!$B$38*(Funil!$B$10/Funil!$B$11)-(Premissas!$B$37+Premissas!$B$34)/Funil!$B$11-B11*$B$4</f>
        <v/>
      </c>
      <c r="D11" s="13">
        <f>IFERROR(C11/Custos!$B$8,0)</f>
        <v/>
      </c>
      <c r="E11" s="12">
        <f>Custos!$D$18</f>
        <v/>
      </c>
      <c r="F11" s="27">
        <f>IF(C11&gt;=E11,"SIM","NAO")</f>
        <v/>
      </c>
    </row>
    <row r="12">
      <c r="A12" s="9" t="n">
        <v>597</v>
      </c>
      <c r="B12" s="13">
        <f>A12+Premissas!$B$42*Premissas!$B$15+Premissas!$B$43*Premissas!$B$16+Premissas!$B$44*Premissas!$B$45</f>
        <v/>
      </c>
      <c r="C12" s="13">
        <f>B12*(1-Premissas!$B$51-Premissas!$B$52)-Premissas!$B$53*Premissas!$B$52-(B12*Premissas!$B$49+Premissas!$B$50)-(Custos!$D$24-Custos!$D$18)-Funil!$B$16-B12*Premissas!$B$38*(Funil!$B$10/Funil!$B$11)-(Premissas!$B$37+Premissas!$B$34)/Funil!$B$11-B12*$B$4</f>
        <v/>
      </c>
      <c r="D12" s="13">
        <f>IFERROR(C12/Custos!$B$8,0)</f>
        <v/>
      </c>
      <c r="E12" s="12">
        <f>Custos!$D$18</f>
        <v/>
      </c>
      <c r="F12" s="27">
        <f>IF(C12&gt;=E12,"SIM","NAO")</f>
        <v/>
      </c>
    </row>
    <row r="14">
      <c r="A14" s="2" t="inlineStr">
        <is>
          <t>Coluna A editavel. O primeiro preco com SIM e o piso de viabilidade da formula nos custos atuais.</t>
        </is>
      </c>
    </row>
    <row r="15">
      <c r="A15" s="2" t="inlineStr">
        <is>
          <t>Se $389 aparece como NAO, ha tres saidas: encurtar o brinde (aba OFERTA), reduzir o custo do principal</t>
        </is>
      </c>
    </row>
    <row r="16">
      <c r="A16" s="2" t="inlineStr">
        <is>
          <t>na cotacao, ou baixar o CAC melhorando conversao e CPL. Subir o preco e a quarta, que voces descartaram.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46" customWidth="1" min="5" max="5"/>
  </cols>
  <sheetData>
    <row r="1">
      <c r="A1" s="1" t="inlineStr">
        <is>
          <t>ESCADA DE PRECOS</t>
        </is>
      </c>
    </row>
    <row r="3">
      <c r="A3" s="22" t="inlineStr"/>
      <c r="B3" s="22" t="inlineStr">
        <is>
          <t>1 mes</t>
        </is>
      </c>
      <c r="C3" s="22" t="inlineStr">
        <is>
          <t>3 meses</t>
        </is>
      </c>
      <c r="D3" s="22" t="inlineStr">
        <is>
          <t>6 meses</t>
        </is>
      </c>
    </row>
    <row r="4">
      <c r="A4" s="4" t="inlineStr">
        <is>
          <t>Preco da escada</t>
        </is>
      </c>
      <c r="B4" s="9" t="n">
        <v>89</v>
      </c>
      <c r="C4" s="9" t="n">
        <v>229</v>
      </c>
      <c r="D4" s="9" t="n">
        <v>389</v>
      </c>
    </row>
    <row r="5">
      <c r="A5" s="4" t="inlineStr">
        <is>
          <t>Meses</t>
        </is>
      </c>
      <c r="B5" s="4" t="n">
        <v>1</v>
      </c>
      <c r="C5" s="4" t="n">
        <v>3</v>
      </c>
      <c r="D5" s="4" t="n">
        <v>6</v>
      </c>
    </row>
    <row r="6">
      <c r="A6" s="4" t="inlineStr">
        <is>
          <t>Preco por mes</t>
        </is>
      </c>
      <c r="B6" s="13">
        <f>B4/B5</f>
        <v/>
      </c>
      <c r="C6" s="13">
        <f>C4/C5</f>
        <v/>
      </c>
      <c r="D6" s="13">
        <f>D4/D5</f>
        <v/>
      </c>
    </row>
    <row r="7">
      <c r="A7" s="4" t="inlineStr">
        <is>
          <t>Desconto vs. 1 mes</t>
        </is>
      </c>
      <c r="B7" s="21">
        <f>1-(B4/B5)/($B$4/$B$5)</f>
        <v/>
      </c>
      <c r="C7" s="21">
        <f>1-(C4/C5)/($B$4/$B$5)</f>
        <v/>
      </c>
      <c r="D7" s="21">
        <f>1-(D4/D5)/($B$4/$B$5)</f>
        <v/>
      </c>
    </row>
    <row r="9">
      <c r="A9" s="4" t="inlineStr">
        <is>
          <t>A escada existe para ancorar: o preco de 1 mes faz o de 6 meses parecer barato. Com $89 no mes avulso,</t>
        </is>
      </c>
    </row>
    <row r="10">
      <c r="A10" s="4" t="inlineStr">
        <is>
          <t>a oferta de $389 por 6 meses mostra ~27% de desconto por mes — desconto suficiente para justificar a</t>
        </is>
      </c>
    </row>
    <row r="11">
      <c r="A11" s="4" t="inlineStr">
        <is>
          <t>compra maior sem canibalizar a percepcao de valor do produto.</t>
        </is>
      </c>
    </row>
    <row r="12">
      <c r="A12" s="2" t="inlineStr"/>
    </row>
    <row r="13">
      <c r="A13" s="4" t="inlineStr">
        <is>
          <t>No webinar ao vivo com fechamento humano, o padrao e apresentar SOMENTE a oferta de 6 meses no pitch e</t>
        </is>
      </c>
    </row>
    <row r="14">
      <c r="A14" s="4" t="inlineStr">
        <is>
          <t>guardar 1 e 3 meses como alternativa de contorno de objecao na mao do comercial — nao como opcao na tela.</t>
        </is>
      </c>
    </row>
    <row r="15">
      <c r="A15" s="4" t="inlineStr">
        <is>
          <t>Colocar as tres na tela derruba o ticket medio, porque a cliente escolhe a menor.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50" customWidth="1" min="13" max="13"/>
  </cols>
  <sheetData>
    <row r="1">
      <c r="A1" s="1" t="inlineStr">
        <is>
          <t>GRADE DE VIABILIDADE — custo do principal x CAC</t>
        </is>
      </c>
    </row>
    <row r="2">
      <c r="A2" s="2" t="inlineStr">
        <is>
          <t>Margem liquida resultante. Verde = bate a margem alvo. Tudo vem de PREMISSAS.</t>
        </is>
      </c>
    </row>
    <row r="3">
      <c r="A3" s="4" t="inlineStr">
        <is>
          <t>Margem liquida alvo</t>
        </is>
      </c>
      <c r="B3" s="26">
        <f>Premissas!$B$46</f>
        <v/>
      </c>
    </row>
    <row r="5">
      <c r="A5" s="5" t="inlineStr">
        <is>
          <t>COMPONENTES FIXOS DO PEDIDO (nao dependem do custo do principal nem do CAC)</t>
        </is>
      </c>
      <c r="B5" s="5" t="n"/>
      <c r="C5" s="5" t="n"/>
      <c r="D5" s="5" t="n"/>
    </row>
    <row r="6">
      <c r="A6" s="4" t="inlineStr">
        <is>
          <t>Unidades enviadas por pedido</t>
        </is>
      </c>
      <c r="B6" s="14">
        <f>Premissas!$B$11+Premissas!$B$12+Premissas!$B$45*(Premissas!$B$11-Premissas!$B$12)+Premissas!$B$13*Premissas!$B$15+Premissas!$B$14*Premissas!$B$16</f>
        <v/>
      </c>
    </row>
    <row r="7">
      <c r="A7" s="4" t="inlineStr">
        <is>
          <t>Receita bruta por pedido</t>
        </is>
      </c>
      <c r="B7" s="13">
        <f>Premissas!$B$41+Premissas!$B$42*Premissas!$B$15+Premissas!$B$43*Premissas!$B$16+Premissas!$B$44*Premissas!$B$45</f>
        <v/>
      </c>
    </row>
    <row r="8">
      <c r="A8" s="4" t="inlineStr">
        <is>
          <t>Frete ao cliente</t>
        </is>
      </c>
      <c r="B8" s="13">
        <f>Premissas!$B$21+$B$6*Premissas!$B$22</f>
        <v/>
      </c>
    </row>
    <row r="9">
      <c r="A9" s="4" t="inlineStr">
        <is>
          <t>Outros custos de entrega</t>
        </is>
      </c>
      <c r="B9" s="13">
        <f>Premissas!$B$19+Premissas!$B$20+Premissas!$B$23+Premissas!$B$24</f>
        <v/>
      </c>
    </row>
    <row r="10">
      <c r="A10" s="4" t="inlineStr">
        <is>
          <t>Perdas (reembolso + chargeback)</t>
        </is>
      </c>
      <c r="B10" s="13">
        <f>$B$7*(Premissas!$B$51+Premissas!$B$52)+Premissas!$B$53*Premissas!$B$52</f>
        <v/>
      </c>
    </row>
    <row r="11">
      <c r="A11" s="4" t="inlineStr">
        <is>
          <t>Processamento</t>
        </is>
      </c>
      <c r="B11" s="13">
        <f>$B$7*Premissas!$B$49+Premissas!$B$50</f>
        <v/>
      </c>
    </row>
    <row r="12">
      <c r="A12" s="4" t="inlineStr">
        <is>
          <t>Comissao do comercial</t>
        </is>
      </c>
      <c r="B12" s="13">
        <f>$B$7*Premissas!$B$38*(Funil!$B$10/Funil!$B$11)</f>
        <v/>
      </c>
    </row>
    <row r="13">
      <c r="A13" s="4" t="inlineStr">
        <is>
          <t>Custo dos bumps (glicemico + acelerador)</t>
        </is>
      </c>
      <c r="B13" s="13">
        <f>Custos!$D$15</f>
        <v/>
      </c>
    </row>
    <row r="14">
      <c r="A14" s="4" t="inlineStr">
        <is>
          <t>Brinde (po) + frete de entrada do pacote</t>
        </is>
      </c>
      <c r="B14" s="13">
        <f>Premissas!$B$12*Premissas!$B$5+Premissas!$B$45*(Premissas!$B$11-Premissas!$B$12)*Premissas!$B$5+(Premissas!$B$11+Premissas!$B$12+Premissas!$B$45*(Premissas!$B$11-Premissas!$B$12))*Premissas!$B$8</f>
        <v/>
      </c>
    </row>
    <row r="16">
      <c r="A16" s="5" t="inlineStr">
        <is>
          <t>MARGEM LIQUIDA RESULTANTE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24" t="inlineStr">
        <is>
          <t>Custo do principal \ CAC</t>
        </is>
      </c>
      <c r="B17" s="28" t="n">
        <v>60</v>
      </c>
      <c r="C17" s="28" t="n">
        <v>70</v>
      </c>
      <c r="D17" s="28" t="n">
        <v>80</v>
      </c>
      <c r="E17" s="28" t="n">
        <v>90</v>
      </c>
      <c r="F17" s="28" t="n">
        <v>100</v>
      </c>
      <c r="G17" s="28" t="n">
        <v>110</v>
      </c>
      <c r="H17" s="28" t="n">
        <v>120</v>
      </c>
      <c r="I17" s="28" t="n">
        <v>130</v>
      </c>
      <c r="J17" s="28" t="n">
        <v>140</v>
      </c>
    </row>
    <row r="18">
      <c r="A18" s="9" t="n">
        <v>6</v>
      </c>
      <c r="B18" s="29">
        <f>($B$7-(Premissas!$B$11*$A18+$B$14+$B$13)-$B$8-$B$9-$B$10-$B$11-B$17-$B$12-(Premissas!$B$37+Premissas!$B$34)*B$17/Premissas!$B$27)/$B$7</f>
        <v/>
      </c>
      <c r="C18" s="29">
        <f>($B$7-(Premissas!$B$11*$A18+$B$14+$B$13)-$B$8-$B$9-$B$10-$B$11-C$17-$B$12-(Premissas!$B$37+Premissas!$B$34)*C$17/Premissas!$B$27)/$B$7</f>
        <v/>
      </c>
      <c r="D18" s="29">
        <f>($B$7-(Premissas!$B$11*$A18+$B$14+$B$13)-$B$8-$B$9-$B$10-$B$11-D$17-$B$12-(Premissas!$B$37+Premissas!$B$34)*D$17/Premissas!$B$27)/$B$7</f>
        <v/>
      </c>
      <c r="E18" s="29">
        <f>($B$7-(Premissas!$B$11*$A18+$B$14+$B$13)-$B$8-$B$9-$B$10-$B$11-E$17-$B$12-(Premissas!$B$37+Premissas!$B$34)*E$17/Premissas!$B$27)/$B$7</f>
        <v/>
      </c>
      <c r="F18" s="29">
        <f>($B$7-(Premissas!$B$11*$A18+$B$14+$B$13)-$B$8-$B$9-$B$10-$B$11-F$17-$B$12-(Premissas!$B$37+Premissas!$B$34)*F$17/Premissas!$B$27)/$B$7</f>
        <v/>
      </c>
      <c r="G18" s="29">
        <f>($B$7-(Premissas!$B$11*$A18+$B$14+$B$13)-$B$8-$B$9-$B$10-$B$11-G$17-$B$12-(Premissas!$B$37+Premissas!$B$34)*G$17/Premissas!$B$27)/$B$7</f>
        <v/>
      </c>
      <c r="H18" s="29">
        <f>($B$7-(Premissas!$B$11*$A18+$B$14+$B$13)-$B$8-$B$9-$B$10-$B$11-H$17-$B$12-(Premissas!$B$37+Premissas!$B$34)*H$17/Premissas!$B$27)/$B$7</f>
        <v/>
      </c>
      <c r="I18" s="29">
        <f>($B$7-(Premissas!$B$11*$A18+$B$14+$B$13)-$B$8-$B$9-$B$10-$B$11-I$17-$B$12-(Premissas!$B$37+Premissas!$B$34)*I$17/Premissas!$B$27)/$B$7</f>
        <v/>
      </c>
      <c r="J18" s="29">
        <f>($B$7-(Premissas!$B$11*$A18+$B$14+$B$13)-$B$8-$B$9-$B$10-$B$11-J$17-$B$12-(Premissas!$B$37+Premissas!$B$34)*J$17/Premissas!$B$27)/$B$7</f>
        <v/>
      </c>
      <c r="M18" s="2" t="inlineStr">
        <is>
          <t>Linhas e colunas sao editaveis.</t>
        </is>
      </c>
    </row>
    <row r="19">
      <c r="A19" s="9" t="n">
        <v>7</v>
      </c>
      <c r="B19" s="29">
        <f>($B$7-(Premissas!$B$11*$A19+$B$14+$B$13)-$B$8-$B$9-$B$10-$B$11-B$17-$B$12-(Premissas!$B$37+Premissas!$B$34)*B$17/Premissas!$B$27)/$B$7</f>
        <v/>
      </c>
      <c r="C19" s="29">
        <f>($B$7-(Premissas!$B$11*$A19+$B$14+$B$13)-$B$8-$B$9-$B$10-$B$11-C$17-$B$12-(Premissas!$B$37+Premissas!$B$34)*C$17/Premissas!$B$27)/$B$7</f>
        <v/>
      </c>
      <c r="D19" s="29">
        <f>($B$7-(Premissas!$B$11*$A19+$B$14+$B$13)-$B$8-$B$9-$B$10-$B$11-D$17-$B$12-(Premissas!$B$37+Premissas!$B$34)*D$17/Premissas!$B$27)/$B$7</f>
        <v/>
      </c>
      <c r="E19" s="29">
        <f>($B$7-(Premissas!$B$11*$A19+$B$14+$B$13)-$B$8-$B$9-$B$10-$B$11-E$17-$B$12-(Premissas!$B$37+Premissas!$B$34)*E$17/Premissas!$B$27)/$B$7</f>
        <v/>
      </c>
      <c r="F19" s="29">
        <f>($B$7-(Premissas!$B$11*$A19+$B$14+$B$13)-$B$8-$B$9-$B$10-$B$11-F$17-$B$12-(Premissas!$B$37+Premissas!$B$34)*F$17/Premissas!$B$27)/$B$7</f>
        <v/>
      </c>
      <c r="G19" s="29">
        <f>($B$7-(Premissas!$B$11*$A19+$B$14+$B$13)-$B$8-$B$9-$B$10-$B$11-G$17-$B$12-(Premissas!$B$37+Premissas!$B$34)*G$17/Premissas!$B$27)/$B$7</f>
        <v/>
      </c>
      <c r="H19" s="29">
        <f>($B$7-(Premissas!$B$11*$A19+$B$14+$B$13)-$B$8-$B$9-$B$10-$B$11-H$17-$B$12-(Premissas!$B$37+Premissas!$B$34)*H$17/Premissas!$B$27)/$B$7</f>
        <v/>
      </c>
      <c r="I19" s="29">
        <f>($B$7-(Premissas!$B$11*$A19+$B$14+$B$13)-$B$8-$B$9-$B$10-$B$11-I$17-$B$12-(Premissas!$B$37+Premissas!$B$34)*I$17/Premissas!$B$27)/$B$7</f>
        <v/>
      </c>
      <c r="J19" s="29">
        <f>($B$7-(Premissas!$B$11*$A19+$B$14+$B$13)-$B$8-$B$9-$B$10-$B$11-J$17-$B$12-(Premissas!$B$37+Premissas!$B$34)*J$17/Premissas!$B$27)/$B$7</f>
        <v/>
      </c>
      <c r="M19" s="2" t="inlineStr">
        <is>
          <t>Verde = bate a margem alvo.</t>
        </is>
      </c>
    </row>
    <row r="20">
      <c r="A20" s="9" t="n">
        <v>8</v>
      </c>
      <c r="B20" s="29">
        <f>($B$7-(Premissas!$B$11*$A20+$B$14+$B$13)-$B$8-$B$9-$B$10-$B$11-B$17-$B$12-(Premissas!$B$37+Premissas!$B$34)*B$17/Premissas!$B$27)/$B$7</f>
        <v/>
      </c>
      <c r="C20" s="29">
        <f>($B$7-(Premissas!$B$11*$A20+$B$14+$B$13)-$B$8-$B$9-$B$10-$B$11-C$17-$B$12-(Premissas!$B$37+Premissas!$B$34)*C$17/Premissas!$B$27)/$B$7</f>
        <v/>
      </c>
      <c r="D20" s="29">
        <f>($B$7-(Premissas!$B$11*$A20+$B$14+$B$13)-$B$8-$B$9-$B$10-$B$11-D$17-$B$12-(Premissas!$B$37+Premissas!$B$34)*D$17/Premissas!$B$27)/$B$7</f>
        <v/>
      </c>
      <c r="E20" s="29">
        <f>($B$7-(Premissas!$B$11*$A20+$B$14+$B$13)-$B$8-$B$9-$B$10-$B$11-E$17-$B$12-(Premissas!$B$37+Premissas!$B$34)*E$17/Premissas!$B$27)/$B$7</f>
        <v/>
      </c>
      <c r="F20" s="29">
        <f>($B$7-(Premissas!$B$11*$A20+$B$14+$B$13)-$B$8-$B$9-$B$10-$B$11-F$17-$B$12-(Premissas!$B$37+Premissas!$B$34)*F$17/Premissas!$B$27)/$B$7</f>
        <v/>
      </c>
      <c r="G20" s="29">
        <f>($B$7-(Premissas!$B$11*$A20+$B$14+$B$13)-$B$8-$B$9-$B$10-$B$11-G$17-$B$12-(Premissas!$B$37+Premissas!$B$34)*G$17/Premissas!$B$27)/$B$7</f>
        <v/>
      </c>
      <c r="H20" s="29">
        <f>($B$7-(Premissas!$B$11*$A20+$B$14+$B$13)-$B$8-$B$9-$B$10-$B$11-H$17-$B$12-(Premissas!$B$37+Premissas!$B$34)*H$17/Premissas!$B$27)/$B$7</f>
        <v/>
      </c>
      <c r="I20" s="29">
        <f>($B$7-(Premissas!$B$11*$A20+$B$14+$B$13)-$B$8-$B$9-$B$10-$B$11-I$17-$B$12-(Premissas!$B$37+Premissas!$B$34)*I$17/Premissas!$B$27)/$B$7</f>
        <v/>
      </c>
      <c r="J20" s="29">
        <f>($B$7-(Premissas!$B$11*$A20+$B$14+$B$13)-$B$8-$B$9-$B$10-$B$11-J$17-$B$12-(Premissas!$B$37+Premissas!$B$34)*J$17/Premissas!$B$27)/$B$7</f>
        <v/>
      </c>
      <c r="M20" s="2" t="inlineStr">
        <is>
          <t>Vermelho = prejuizo por pedido.</t>
        </is>
      </c>
    </row>
    <row r="21">
      <c r="A21" s="9" t="n">
        <v>9</v>
      </c>
      <c r="B21" s="29">
        <f>($B$7-(Premissas!$B$11*$A21+$B$14+$B$13)-$B$8-$B$9-$B$10-$B$11-B$17-$B$12-(Premissas!$B$37+Premissas!$B$34)*B$17/Premissas!$B$27)/$B$7</f>
        <v/>
      </c>
      <c r="C21" s="29">
        <f>($B$7-(Premissas!$B$11*$A21+$B$14+$B$13)-$B$8-$B$9-$B$10-$B$11-C$17-$B$12-(Premissas!$B$37+Premissas!$B$34)*C$17/Premissas!$B$27)/$B$7</f>
        <v/>
      </c>
      <c r="D21" s="29">
        <f>($B$7-(Premissas!$B$11*$A21+$B$14+$B$13)-$B$8-$B$9-$B$10-$B$11-D$17-$B$12-(Premissas!$B$37+Premissas!$B$34)*D$17/Premissas!$B$27)/$B$7</f>
        <v/>
      </c>
      <c r="E21" s="29">
        <f>($B$7-(Premissas!$B$11*$A21+$B$14+$B$13)-$B$8-$B$9-$B$10-$B$11-E$17-$B$12-(Premissas!$B$37+Premissas!$B$34)*E$17/Premissas!$B$27)/$B$7</f>
        <v/>
      </c>
      <c r="F21" s="29">
        <f>($B$7-(Premissas!$B$11*$A21+$B$14+$B$13)-$B$8-$B$9-$B$10-$B$11-F$17-$B$12-(Premissas!$B$37+Premissas!$B$34)*F$17/Premissas!$B$27)/$B$7</f>
        <v/>
      </c>
      <c r="G21" s="29">
        <f>($B$7-(Premissas!$B$11*$A21+$B$14+$B$13)-$B$8-$B$9-$B$10-$B$11-G$17-$B$12-(Premissas!$B$37+Premissas!$B$34)*G$17/Premissas!$B$27)/$B$7</f>
        <v/>
      </c>
      <c r="H21" s="29">
        <f>($B$7-(Premissas!$B$11*$A21+$B$14+$B$13)-$B$8-$B$9-$B$10-$B$11-H$17-$B$12-(Premissas!$B$37+Premissas!$B$34)*H$17/Premissas!$B$27)/$B$7</f>
        <v/>
      </c>
      <c r="I21" s="29">
        <f>($B$7-(Premissas!$B$11*$A21+$B$14+$B$13)-$B$8-$B$9-$B$10-$B$11-I$17-$B$12-(Premissas!$B$37+Premissas!$B$34)*I$17/Premissas!$B$27)/$B$7</f>
        <v/>
      </c>
      <c r="J21" s="29">
        <f>($B$7-(Premissas!$B$11*$A21+$B$14+$B$13)-$B$8-$B$9-$B$10-$B$11-J$17-$B$12-(Premissas!$B$37+Premissas!$B$34)*J$17/Premissas!$B$27)/$B$7</f>
        <v/>
      </c>
    </row>
    <row r="22">
      <c r="A22" s="9" t="n">
        <v>10</v>
      </c>
      <c r="B22" s="29">
        <f>($B$7-(Premissas!$B$11*$A22+$B$14+$B$13)-$B$8-$B$9-$B$10-$B$11-B$17-$B$12-(Premissas!$B$37+Premissas!$B$34)*B$17/Premissas!$B$27)/$B$7</f>
        <v/>
      </c>
      <c r="C22" s="29">
        <f>($B$7-(Premissas!$B$11*$A22+$B$14+$B$13)-$B$8-$B$9-$B$10-$B$11-C$17-$B$12-(Premissas!$B$37+Premissas!$B$34)*C$17/Premissas!$B$27)/$B$7</f>
        <v/>
      </c>
      <c r="D22" s="29">
        <f>($B$7-(Premissas!$B$11*$A22+$B$14+$B$13)-$B$8-$B$9-$B$10-$B$11-D$17-$B$12-(Premissas!$B$37+Premissas!$B$34)*D$17/Premissas!$B$27)/$B$7</f>
        <v/>
      </c>
      <c r="E22" s="29">
        <f>($B$7-(Premissas!$B$11*$A22+$B$14+$B$13)-$B$8-$B$9-$B$10-$B$11-E$17-$B$12-(Premissas!$B$37+Premissas!$B$34)*E$17/Premissas!$B$27)/$B$7</f>
        <v/>
      </c>
      <c r="F22" s="29">
        <f>($B$7-(Premissas!$B$11*$A22+$B$14+$B$13)-$B$8-$B$9-$B$10-$B$11-F$17-$B$12-(Premissas!$B$37+Premissas!$B$34)*F$17/Premissas!$B$27)/$B$7</f>
        <v/>
      </c>
      <c r="G22" s="29">
        <f>($B$7-(Premissas!$B$11*$A22+$B$14+$B$13)-$B$8-$B$9-$B$10-$B$11-G$17-$B$12-(Premissas!$B$37+Premissas!$B$34)*G$17/Premissas!$B$27)/$B$7</f>
        <v/>
      </c>
      <c r="H22" s="29">
        <f>($B$7-(Premissas!$B$11*$A22+$B$14+$B$13)-$B$8-$B$9-$B$10-$B$11-H$17-$B$12-(Premissas!$B$37+Premissas!$B$34)*H$17/Premissas!$B$27)/$B$7</f>
        <v/>
      </c>
      <c r="I22" s="29">
        <f>($B$7-(Premissas!$B$11*$A22+$B$14+$B$13)-$B$8-$B$9-$B$10-$B$11-I$17-$B$12-(Premissas!$B$37+Premissas!$B$34)*I$17/Premissas!$B$27)/$B$7</f>
        <v/>
      </c>
      <c r="J22" s="29">
        <f>($B$7-(Premissas!$B$11*$A22+$B$14+$B$13)-$B$8-$B$9-$B$10-$B$11-J$17-$B$12-(Premissas!$B$37+Premissas!$B$34)*J$17/Premissas!$B$27)/$B$7</f>
        <v/>
      </c>
      <c r="M22" s="2" t="inlineStr">
        <is>
          <t>O CAC ja embute o rateio do custo fixo do</t>
        </is>
      </c>
    </row>
    <row r="23">
      <c r="A23" s="9" t="n">
        <v>11</v>
      </c>
      <c r="B23" s="29">
        <f>($B$7-(Premissas!$B$11*$A23+$B$14+$B$13)-$B$8-$B$9-$B$10-$B$11-B$17-$B$12-(Premissas!$B$37+Premissas!$B$34)*B$17/Premissas!$B$27)/$B$7</f>
        <v/>
      </c>
      <c r="C23" s="29">
        <f>($B$7-(Premissas!$B$11*$A23+$B$14+$B$13)-$B$8-$B$9-$B$10-$B$11-C$17-$B$12-(Premissas!$B$37+Premissas!$B$34)*C$17/Premissas!$B$27)/$B$7</f>
        <v/>
      </c>
      <c r="D23" s="29">
        <f>($B$7-(Premissas!$B$11*$A23+$B$14+$B$13)-$B$8-$B$9-$B$10-$B$11-D$17-$B$12-(Premissas!$B$37+Premissas!$B$34)*D$17/Premissas!$B$27)/$B$7</f>
        <v/>
      </c>
      <c r="E23" s="29">
        <f>($B$7-(Premissas!$B$11*$A23+$B$14+$B$13)-$B$8-$B$9-$B$10-$B$11-E$17-$B$12-(Premissas!$B$37+Premissas!$B$34)*E$17/Premissas!$B$27)/$B$7</f>
        <v/>
      </c>
      <c r="F23" s="29">
        <f>($B$7-(Premissas!$B$11*$A23+$B$14+$B$13)-$B$8-$B$9-$B$10-$B$11-F$17-$B$12-(Premissas!$B$37+Premissas!$B$34)*F$17/Premissas!$B$27)/$B$7</f>
        <v/>
      </c>
      <c r="G23" s="29">
        <f>($B$7-(Premissas!$B$11*$A23+$B$14+$B$13)-$B$8-$B$9-$B$10-$B$11-G$17-$B$12-(Premissas!$B$37+Premissas!$B$34)*G$17/Premissas!$B$27)/$B$7</f>
        <v/>
      </c>
      <c r="H23" s="29">
        <f>($B$7-(Premissas!$B$11*$A23+$B$14+$B$13)-$B$8-$B$9-$B$10-$B$11-H$17-$B$12-(Premissas!$B$37+Premissas!$B$34)*H$17/Premissas!$B$27)/$B$7</f>
        <v/>
      </c>
      <c r="I23" s="29">
        <f>($B$7-(Premissas!$B$11*$A23+$B$14+$B$13)-$B$8-$B$9-$B$10-$B$11-I$17-$B$12-(Premissas!$B$37+Premissas!$B$34)*I$17/Premissas!$B$27)/$B$7</f>
        <v/>
      </c>
      <c r="J23" s="29">
        <f>($B$7-(Premissas!$B$11*$A23+$B$14+$B$13)-$B$8-$B$9-$B$10-$B$11-J$17-$B$12-(Premissas!$B$37+Premissas!$B$34)*J$17/Premissas!$B$27)/$B$7</f>
        <v/>
      </c>
      <c r="M23" s="2" t="inlineStr">
        <is>
          <t>comercial e do CRM: CAC menor significa mais</t>
        </is>
      </c>
    </row>
    <row r="24">
      <c r="A24" s="9" t="n">
        <v>12</v>
      </c>
      <c r="B24" s="29">
        <f>($B$7-(Premissas!$B$11*$A24+$B$14+$B$13)-$B$8-$B$9-$B$10-$B$11-B$17-$B$12-(Premissas!$B$37+Premissas!$B$34)*B$17/Premissas!$B$27)/$B$7</f>
        <v/>
      </c>
      <c r="C24" s="29">
        <f>($B$7-(Premissas!$B$11*$A24+$B$14+$B$13)-$B$8-$B$9-$B$10-$B$11-C$17-$B$12-(Premissas!$B$37+Premissas!$B$34)*C$17/Premissas!$B$27)/$B$7</f>
        <v/>
      </c>
      <c r="D24" s="29">
        <f>($B$7-(Premissas!$B$11*$A24+$B$14+$B$13)-$B$8-$B$9-$B$10-$B$11-D$17-$B$12-(Premissas!$B$37+Premissas!$B$34)*D$17/Premissas!$B$27)/$B$7</f>
        <v/>
      </c>
      <c r="E24" s="29">
        <f>($B$7-(Premissas!$B$11*$A24+$B$14+$B$13)-$B$8-$B$9-$B$10-$B$11-E$17-$B$12-(Premissas!$B$37+Premissas!$B$34)*E$17/Premissas!$B$27)/$B$7</f>
        <v/>
      </c>
      <c r="F24" s="29">
        <f>($B$7-(Premissas!$B$11*$A24+$B$14+$B$13)-$B$8-$B$9-$B$10-$B$11-F$17-$B$12-(Premissas!$B$37+Premissas!$B$34)*F$17/Premissas!$B$27)/$B$7</f>
        <v/>
      </c>
      <c r="G24" s="29">
        <f>($B$7-(Premissas!$B$11*$A24+$B$14+$B$13)-$B$8-$B$9-$B$10-$B$11-G$17-$B$12-(Premissas!$B$37+Premissas!$B$34)*G$17/Premissas!$B$27)/$B$7</f>
        <v/>
      </c>
      <c r="H24" s="29">
        <f>($B$7-(Premissas!$B$11*$A24+$B$14+$B$13)-$B$8-$B$9-$B$10-$B$11-H$17-$B$12-(Premissas!$B$37+Premissas!$B$34)*H$17/Premissas!$B$27)/$B$7</f>
        <v/>
      </c>
      <c r="I24" s="29">
        <f>($B$7-(Premissas!$B$11*$A24+$B$14+$B$13)-$B$8-$B$9-$B$10-$B$11-I$17-$B$12-(Premissas!$B$37+Premissas!$B$34)*I$17/Premissas!$B$27)/$B$7</f>
        <v/>
      </c>
      <c r="J24" s="29">
        <f>($B$7-(Premissas!$B$11*$A24+$B$14+$B$13)-$B$8-$B$9-$B$10-$B$11-J$17-$B$12-(Premissas!$B$37+Premissas!$B$34)*J$17/Premissas!$B$27)/$B$7</f>
        <v/>
      </c>
      <c r="M24" s="2" t="inlineStr">
        <is>
          <t>pedidos, logo menos custo fixo por pedido.</t>
        </is>
      </c>
    </row>
    <row r="25">
      <c r="A25" s="9" t="n">
        <v>13</v>
      </c>
      <c r="B25" s="29">
        <f>($B$7-(Premissas!$B$11*$A25+$B$14+$B$13)-$B$8-$B$9-$B$10-$B$11-B$17-$B$12-(Premissas!$B$37+Premissas!$B$34)*B$17/Premissas!$B$27)/$B$7</f>
        <v/>
      </c>
      <c r="C25" s="29">
        <f>($B$7-(Premissas!$B$11*$A25+$B$14+$B$13)-$B$8-$B$9-$B$10-$B$11-C$17-$B$12-(Premissas!$B$37+Premissas!$B$34)*C$17/Premissas!$B$27)/$B$7</f>
        <v/>
      </c>
      <c r="D25" s="29">
        <f>($B$7-(Premissas!$B$11*$A25+$B$14+$B$13)-$B$8-$B$9-$B$10-$B$11-D$17-$B$12-(Premissas!$B$37+Premissas!$B$34)*D$17/Premissas!$B$27)/$B$7</f>
        <v/>
      </c>
      <c r="E25" s="29">
        <f>($B$7-(Premissas!$B$11*$A25+$B$14+$B$13)-$B$8-$B$9-$B$10-$B$11-E$17-$B$12-(Premissas!$B$37+Premissas!$B$34)*E$17/Premissas!$B$27)/$B$7</f>
        <v/>
      </c>
      <c r="F25" s="29">
        <f>($B$7-(Premissas!$B$11*$A25+$B$14+$B$13)-$B$8-$B$9-$B$10-$B$11-F$17-$B$12-(Premissas!$B$37+Premissas!$B$34)*F$17/Premissas!$B$27)/$B$7</f>
        <v/>
      </c>
      <c r="G25" s="29">
        <f>($B$7-(Premissas!$B$11*$A25+$B$14+$B$13)-$B$8-$B$9-$B$10-$B$11-G$17-$B$12-(Premissas!$B$37+Premissas!$B$34)*G$17/Premissas!$B$27)/$B$7</f>
        <v/>
      </c>
      <c r="H25" s="29">
        <f>($B$7-(Premissas!$B$11*$A25+$B$14+$B$13)-$B$8-$B$9-$B$10-$B$11-H$17-$B$12-(Premissas!$B$37+Premissas!$B$34)*H$17/Premissas!$B$27)/$B$7</f>
        <v/>
      </c>
      <c r="I25" s="29">
        <f>($B$7-(Premissas!$B$11*$A25+$B$14+$B$13)-$B$8-$B$9-$B$10-$B$11-I$17-$B$12-(Premissas!$B$37+Premissas!$B$34)*I$17/Premissas!$B$27)/$B$7</f>
        <v/>
      </c>
      <c r="J25" s="29">
        <f>($B$7-(Premissas!$B$11*$A25+$B$14+$B$13)-$B$8-$B$9-$B$10-$B$11-J$17-$B$12-(Premissas!$B$37+Premissas!$B$34)*J$17/Premissas!$B$27)/$B$7</f>
        <v/>
      </c>
    </row>
    <row r="26">
      <c r="A26" s="9" t="n">
        <v>14</v>
      </c>
      <c r="B26" s="29">
        <f>($B$7-(Premissas!$B$11*$A26+$B$14+$B$13)-$B$8-$B$9-$B$10-$B$11-B$17-$B$12-(Premissas!$B$37+Premissas!$B$34)*B$17/Premissas!$B$27)/$B$7</f>
        <v/>
      </c>
      <c r="C26" s="29">
        <f>($B$7-(Premissas!$B$11*$A26+$B$14+$B$13)-$B$8-$B$9-$B$10-$B$11-C$17-$B$12-(Premissas!$B$37+Premissas!$B$34)*C$17/Premissas!$B$27)/$B$7</f>
        <v/>
      </c>
      <c r="D26" s="29">
        <f>($B$7-(Premissas!$B$11*$A26+$B$14+$B$13)-$B$8-$B$9-$B$10-$B$11-D$17-$B$12-(Premissas!$B$37+Premissas!$B$34)*D$17/Premissas!$B$27)/$B$7</f>
        <v/>
      </c>
      <c r="E26" s="29">
        <f>($B$7-(Premissas!$B$11*$A26+$B$14+$B$13)-$B$8-$B$9-$B$10-$B$11-E$17-$B$12-(Premissas!$B$37+Premissas!$B$34)*E$17/Premissas!$B$27)/$B$7</f>
        <v/>
      </c>
      <c r="F26" s="29">
        <f>($B$7-(Premissas!$B$11*$A26+$B$14+$B$13)-$B$8-$B$9-$B$10-$B$11-F$17-$B$12-(Premissas!$B$37+Premissas!$B$34)*F$17/Premissas!$B$27)/$B$7</f>
        <v/>
      </c>
      <c r="G26" s="29">
        <f>($B$7-(Premissas!$B$11*$A26+$B$14+$B$13)-$B$8-$B$9-$B$10-$B$11-G$17-$B$12-(Premissas!$B$37+Premissas!$B$34)*G$17/Premissas!$B$27)/$B$7</f>
        <v/>
      </c>
      <c r="H26" s="29">
        <f>($B$7-(Premissas!$B$11*$A26+$B$14+$B$13)-$B$8-$B$9-$B$10-$B$11-H$17-$B$12-(Premissas!$B$37+Premissas!$B$34)*H$17/Premissas!$B$27)/$B$7</f>
        <v/>
      </c>
      <c r="I26" s="29">
        <f>($B$7-(Premissas!$B$11*$A26+$B$14+$B$13)-$B$8-$B$9-$B$10-$B$11-I$17-$B$12-(Premissas!$B$37+Premissas!$B$34)*I$17/Premissas!$B$27)/$B$7</f>
        <v/>
      </c>
      <c r="J26" s="29">
        <f>($B$7-(Premissas!$B$11*$A26+$B$14+$B$13)-$B$8-$B$9-$B$10-$B$11-J$17-$B$12-(Premissas!$B$37+Premissas!$B$34)*J$17/Premissas!$B$27)/$B$7</f>
        <v/>
      </c>
    </row>
    <row r="27">
      <c r="A27" s="9" t="n">
        <v>15</v>
      </c>
      <c r="B27" s="29">
        <f>($B$7-(Premissas!$B$11*$A27+$B$14+$B$13)-$B$8-$B$9-$B$10-$B$11-B$17-$B$12-(Premissas!$B$37+Premissas!$B$34)*B$17/Premissas!$B$27)/$B$7</f>
        <v/>
      </c>
      <c r="C27" s="29">
        <f>($B$7-(Premissas!$B$11*$A27+$B$14+$B$13)-$B$8-$B$9-$B$10-$B$11-C$17-$B$12-(Premissas!$B$37+Premissas!$B$34)*C$17/Premissas!$B$27)/$B$7</f>
        <v/>
      </c>
      <c r="D27" s="29">
        <f>($B$7-(Premissas!$B$11*$A27+$B$14+$B$13)-$B$8-$B$9-$B$10-$B$11-D$17-$B$12-(Premissas!$B$37+Premissas!$B$34)*D$17/Premissas!$B$27)/$B$7</f>
        <v/>
      </c>
      <c r="E27" s="29">
        <f>($B$7-(Premissas!$B$11*$A27+$B$14+$B$13)-$B$8-$B$9-$B$10-$B$11-E$17-$B$12-(Premissas!$B$37+Premissas!$B$34)*E$17/Premissas!$B$27)/$B$7</f>
        <v/>
      </c>
      <c r="F27" s="29">
        <f>($B$7-(Premissas!$B$11*$A27+$B$14+$B$13)-$B$8-$B$9-$B$10-$B$11-F$17-$B$12-(Premissas!$B$37+Premissas!$B$34)*F$17/Premissas!$B$27)/$B$7</f>
        <v/>
      </c>
      <c r="G27" s="29">
        <f>($B$7-(Premissas!$B$11*$A27+$B$14+$B$13)-$B$8-$B$9-$B$10-$B$11-G$17-$B$12-(Premissas!$B$37+Premissas!$B$34)*G$17/Premissas!$B$27)/$B$7</f>
        <v/>
      </c>
      <c r="H27" s="29">
        <f>($B$7-(Premissas!$B$11*$A27+$B$14+$B$13)-$B$8-$B$9-$B$10-$B$11-H$17-$B$12-(Premissas!$B$37+Premissas!$B$34)*H$17/Premissas!$B$27)/$B$7</f>
        <v/>
      </c>
      <c r="I27" s="29">
        <f>($B$7-(Premissas!$B$11*$A27+$B$14+$B$13)-$B$8-$B$9-$B$10-$B$11-I$17-$B$12-(Premissas!$B$37+Premissas!$B$34)*I$17/Premissas!$B$27)/$B$7</f>
        <v/>
      </c>
      <c r="J27" s="29">
        <f>($B$7-(Premissas!$B$11*$A27+$B$14+$B$13)-$B$8-$B$9-$B$10-$B$11-J$17-$B$12-(Premissas!$B$37+Premissas!$B$34)*J$17/Premissas!$B$27)/$B$7</f>
        <v/>
      </c>
    </row>
    <row r="28">
      <c r="A28" s="9" t="n">
        <v>16</v>
      </c>
      <c r="B28" s="29">
        <f>($B$7-(Premissas!$B$11*$A28+$B$14+$B$13)-$B$8-$B$9-$B$10-$B$11-B$17-$B$12-(Premissas!$B$37+Premissas!$B$34)*B$17/Premissas!$B$27)/$B$7</f>
        <v/>
      </c>
      <c r="C28" s="29">
        <f>($B$7-(Premissas!$B$11*$A28+$B$14+$B$13)-$B$8-$B$9-$B$10-$B$11-C$17-$B$12-(Premissas!$B$37+Premissas!$B$34)*C$17/Premissas!$B$27)/$B$7</f>
        <v/>
      </c>
      <c r="D28" s="29">
        <f>($B$7-(Premissas!$B$11*$A28+$B$14+$B$13)-$B$8-$B$9-$B$10-$B$11-D$17-$B$12-(Premissas!$B$37+Premissas!$B$34)*D$17/Premissas!$B$27)/$B$7</f>
        <v/>
      </c>
      <c r="E28" s="29">
        <f>($B$7-(Premissas!$B$11*$A28+$B$14+$B$13)-$B$8-$B$9-$B$10-$B$11-E$17-$B$12-(Premissas!$B$37+Premissas!$B$34)*E$17/Premissas!$B$27)/$B$7</f>
        <v/>
      </c>
      <c r="F28" s="29">
        <f>($B$7-(Premissas!$B$11*$A28+$B$14+$B$13)-$B$8-$B$9-$B$10-$B$11-F$17-$B$12-(Premissas!$B$37+Premissas!$B$34)*F$17/Premissas!$B$27)/$B$7</f>
        <v/>
      </c>
      <c r="G28" s="29">
        <f>($B$7-(Premissas!$B$11*$A28+$B$14+$B$13)-$B$8-$B$9-$B$10-$B$11-G$17-$B$12-(Premissas!$B$37+Premissas!$B$34)*G$17/Premissas!$B$27)/$B$7</f>
        <v/>
      </c>
      <c r="H28" s="29">
        <f>($B$7-(Premissas!$B$11*$A28+$B$14+$B$13)-$B$8-$B$9-$B$10-$B$11-H$17-$B$12-(Premissas!$B$37+Premissas!$B$34)*H$17/Premissas!$B$27)/$B$7</f>
        <v/>
      </c>
      <c r="I28" s="29">
        <f>($B$7-(Premissas!$B$11*$A28+$B$14+$B$13)-$B$8-$B$9-$B$10-$B$11-I$17-$B$12-(Premissas!$B$37+Premissas!$B$34)*I$17/Premissas!$B$27)/$B$7</f>
        <v/>
      </c>
      <c r="J28" s="29">
        <f>($B$7-(Premissas!$B$11*$A28+$B$14+$B$13)-$B$8-$B$9-$B$10-$B$11-J$17-$B$12-(Premissas!$B$37+Premissas!$B$34)*J$17/Premissas!$B$27)/$B$7</f>
        <v/>
      </c>
    </row>
    <row r="30">
      <c r="A30" s="5" t="inlineStr">
        <is>
          <t>A ALAVANCA MENOS OLHADA — TAXA DE REEMBOLSO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10" t="inlineStr">
        <is>
          <t>Taxa de reembolso</t>
        </is>
      </c>
      <c r="B31" s="30" t="n">
        <v>0.18</v>
      </c>
      <c r="C31" s="30" t="n">
        <v>0.15</v>
      </c>
      <c r="D31" s="30" t="n">
        <v>0.12</v>
      </c>
      <c r="E31" s="30" t="n">
        <v>0.09</v>
      </c>
      <c r="F31" s="30" t="n">
        <v>0.06</v>
      </c>
      <c r="G31" s="30" t="n">
        <v>0.04</v>
      </c>
    </row>
    <row r="32">
      <c r="A32" s="4" t="inlineStr">
        <is>
          <t>Perda por pedido</t>
        </is>
      </c>
      <c r="B32" s="31">
        <f>$B$7*B$31+Premissas!$B$53*Premissas!$B$52+$B$7*Premissas!$B$52</f>
        <v/>
      </c>
      <c r="C32" s="31">
        <f>$B$7*C$31+Premissas!$B$53*Premissas!$B$52+$B$7*Premissas!$B$52</f>
        <v/>
      </c>
      <c r="D32" s="31">
        <f>$B$7*D$31+Premissas!$B$53*Premissas!$B$52+$B$7*Premissas!$B$52</f>
        <v/>
      </c>
      <c r="E32" s="31">
        <f>$B$7*E$31+Premissas!$B$53*Premissas!$B$52+$B$7*Premissas!$B$52</f>
        <v/>
      </c>
      <c r="F32" s="31">
        <f>$B$7*F$31+Premissas!$B$53*Premissas!$B$52+$B$7*Premissas!$B$52</f>
        <v/>
      </c>
      <c r="G32" s="31">
        <f>$B$7*G$31+Premissas!$B$53*Premissas!$B$52+$B$7*Premissas!$B$52</f>
        <v/>
      </c>
    </row>
    <row r="33">
      <c r="A33" s="3" t="inlineStr">
        <is>
          <t>Margem no custo e CAC atuais</t>
        </is>
      </c>
      <c r="B33" s="32">
        <f>($B$7-(Premissas!$B$11*Premissas!$B$4+$B$14+$B$13)-$B$8-$B$9-($B$7*(B$31+Premissas!$B$52)+Premissas!$B$53*Premissas!$B$52)-$B$11-Funil!$B$16-$B$12-(Premissas!$B$37+Premissas!$B$34)/Funil!$B$11)/$B$7</f>
        <v/>
      </c>
      <c r="C33" s="32">
        <f>($B$7-(Premissas!$B$11*Premissas!$B$4+$B$14+$B$13)-$B$8-$B$9-($B$7*(C$31+Premissas!$B$52)+Premissas!$B$53*Premissas!$B$52)-$B$11-Funil!$B$16-$B$12-(Premissas!$B$37+Premissas!$B$34)/Funil!$B$11)/$B$7</f>
        <v/>
      </c>
      <c r="D33" s="32">
        <f>($B$7-(Premissas!$B$11*Premissas!$B$4+$B$14+$B$13)-$B$8-$B$9-($B$7*(D$31+Premissas!$B$52)+Premissas!$B$53*Premissas!$B$52)-$B$11-Funil!$B$16-$B$12-(Premissas!$B$37+Premissas!$B$34)/Funil!$B$11)/$B$7</f>
        <v/>
      </c>
      <c r="E33" s="32">
        <f>($B$7-(Premissas!$B$11*Premissas!$B$4+$B$14+$B$13)-$B$8-$B$9-($B$7*(E$31+Premissas!$B$52)+Premissas!$B$53*Premissas!$B$52)-$B$11-Funil!$B$16-$B$12-(Premissas!$B$37+Premissas!$B$34)/Funil!$B$11)/$B$7</f>
        <v/>
      </c>
      <c r="F33" s="32">
        <f>($B$7-(Premissas!$B$11*Premissas!$B$4+$B$14+$B$13)-$B$8-$B$9-($B$7*(F$31+Premissas!$B$52)+Premissas!$B$53*Premissas!$B$52)-$B$11-Funil!$B$16-$B$12-(Premissas!$B$37+Premissas!$B$34)/Funil!$B$11)/$B$7</f>
        <v/>
      </c>
      <c r="G33" s="32">
        <f>($B$7-(Premissas!$B$11*Premissas!$B$4+$B$14+$B$13)-$B$8-$B$9-($B$7*(G$31+Premissas!$B$52)+Premissas!$B$53*Premissas!$B$52)-$B$11-Funil!$B$16-$B$12-(Premissas!$B$37+Premissas!$B$34)/Funil!$B$11)/$B$7</f>
        <v/>
      </c>
    </row>
    <row r="35">
      <c r="A35" s="2" t="inlineStr">
        <is>
          <t>Reembolso e o segundo maior custo do pedido, maior que frete, 3PL, embalagem e processamento somados.</t>
        </is>
      </c>
    </row>
    <row r="36">
      <c r="A36" s="2" t="inlineStr">
        <is>
          <t>Cair de 12% para 9% vale cerca de 3 pontos de margem — o mesmo que cortar $2 do custo do frasco.</t>
        </is>
      </c>
    </row>
    <row r="37">
      <c r="A37" s="2" t="inlineStr">
        <is>
          <t>As alavancas sao: garantia desenhada para devolucao de frascos lacrados, expectativa correta no pitch,</t>
        </is>
      </c>
    </row>
    <row r="38">
      <c r="A38" s="2" t="inlineStr">
        <is>
          <t>onboarding nas primeiras duas semanas e o proprio comercial acompanhando quem comprou.</t>
        </is>
      </c>
    </row>
  </sheetData>
  <conditionalFormatting sqref="B18:J28">
    <cfRule type="expression" priority="1" dxfId="0" stopIfTrue="0">
      <formula>B18&gt;=$B$3</formula>
    </cfRule>
    <cfRule type="expression" priority="2" dxfId="1">
      <formula>B18&lt;0</formula>
    </cfRule>
  </conditionalFormatting>
  <conditionalFormatting sqref="B33:G33">
    <cfRule type="expression" priority="3" dxfId="0">
      <formula>B33&gt;=$B$3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TARGET DE CUSTO POR PRODUTO — para levar ao fornecedor</t>
        </is>
      </c>
    </row>
    <row r="2">
      <c r="A2" s="2" t="inlineStr">
        <is>
          <t>Derivado de tras para frente: preco de venda, margem alvo e CAC definem quanto o produto pode custar.</t>
        </is>
      </c>
    </row>
    <row r="3">
      <c r="A3" s="2" t="inlineStr">
        <is>
          <t>Todos os targets sao FOB fabricante, com frasco e rotulo. Frete de entrada esta em linha separada.</t>
        </is>
      </c>
    </row>
    <row r="5">
      <c r="A5" s="5" t="inlineStr">
        <is>
          <t>1. ORCAMENTO DE PRODUTO POR PEDIDO</t>
        </is>
      </c>
      <c r="B5" s="5" t="n"/>
      <c r="C5" s="5" t="n"/>
      <c r="D5" s="5" t="n"/>
    </row>
    <row r="6">
      <c r="A6" s="4" t="inlineStr">
        <is>
          <t>Receita bruta por pedido</t>
        </is>
      </c>
      <c r="B6" s="13">
        <f>Premissas!$B$41+Premissas!$B$42*Premissas!$B$15+Premissas!$B$43*Premissas!$B$16+Premissas!$B$44*Premissas!$B$45</f>
        <v/>
      </c>
    </row>
    <row r="7">
      <c r="A7" s="4" t="inlineStr">
        <is>
          <t>Unidades enviadas por pedido</t>
        </is>
      </c>
      <c r="B7" s="14">
        <f>Premissas!$B$11+Premissas!$B$12+Premissas!$B$45*(Premissas!$B$11-Premissas!$B$12)+Premissas!$B$13*Premissas!$B$15+Premissas!$B$14*Premissas!$B$16</f>
        <v/>
      </c>
    </row>
    <row r="8">
      <c r="A8" s="4" t="inlineStr">
        <is>
          <t>(-) Frete ao cliente</t>
        </is>
      </c>
      <c r="B8" s="13">
        <f>-(Premissas!$B$21+$B$7*Premissas!$B$22)</f>
        <v/>
      </c>
    </row>
    <row r="9">
      <c r="A9" s="4" t="inlineStr">
        <is>
          <t>(-) Caixa, 3PL, armazenagem, suporte</t>
        </is>
      </c>
      <c r="B9" s="13">
        <f>-(Premissas!$B$19+Premissas!$B$20+Premissas!$B$23+Premissas!$B$24)</f>
        <v/>
      </c>
    </row>
    <row r="10">
      <c r="A10" s="4" t="inlineStr">
        <is>
          <t>(-) Reembolso e chargeback</t>
        </is>
      </c>
      <c r="B10" s="13">
        <f>-($B$6*(Premissas!$B$51+Premissas!$B$52)+Premissas!$B$53*Premissas!$B$52)</f>
        <v/>
      </c>
    </row>
    <row r="11">
      <c r="A11" s="4" t="inlineStr">
        <is>
          <t>(-) Processamento</t>
        </is>
      </c>
      <c r="B11" s="13">
        <f>-($B$6*Premissas!$B$49+Premissas!$B$50)</f>
        <v/>
      </c>
    </row>
    <row r="12">
      <c r="A12" s="4" t="inlineStr">
        <is>
          <t>(-) Comissao do comercial</t>
        </is>
      </c>
      <c r="B12" s="13">
        <f>-($B$6*Premissas!$B$38*(Funil!$B$10/Funil!$B$11))</f>
        <v/>
      </c>
    </row>
    <row r="13">
      <c r="A13" s="4" t="inlineStr">
        <is>
          <t>(-) CAC de planejamento</t>
        </is>
      </c>
      <c r="B13" s="6" t="n">
        <v>-90</v>
      </c>
      <c r="D13" s="2" t="inlineStr">
        <is>
          <t>EDITAR. Negativo. E a premissa que mais mexe no target.</t>
        </is>
      </c>
    </row>
    <row r="14">
      <c r="A14" s="4" t="inlineStr">
        <is>
          <t>(-) Rateio do fixo comercial e CRM</t>
        </is>
      </c>
      <c r="B14" s="13">
        <f>(Premissas!$B$37+Premissas!$B$34)*$B$13/Premissas!$B$27</f>
        <v/>
      </c>
    </row>
    <row r="15">
      <c r="A15" s="4" t="inlineStr">
        <is>
          <t>(-) Margem liquida alvo</t>
        </is>
      </c>
      <c r="B15" s="13">
        <f>-$B$6*Premissas!$B$46</f>
        <v/>
      </c>
    </row>
    <row r="16">
      <c r="A16" s="3" t="inlineStr">
        <is>
          <t>ORCAMENTO DE PRODUTO POR PEDIDO</t>
        </is>
      </c>
      <c r="B16" s="15">
        <f>$B$6+SUM(B8:B15)</f>
        <v/>
      </c>
    </row>
    <row r="18">
      <c r="A18" s="5" t="inlineStr">
        <is>
          <t>2. ALOCACAO POR SKU</t>
        </is>
      </c>
      <c r="B18" s="5" t="n"/>
      <c r="C18" s="5" t="n"/>
      <c r="D18" s="5" t="n"/>
      <c r="E18" s="5" t="n"/>
    </row>
    <row r="19" ht="26" customHeight="1">
      <c r="A19" s="24" t="inlineStr">
        <is>
          <t>SKU</t>
        </is>
      </c>
      <c r="B19" s="24" t="inlineStr">
        <is>
          <t>Unid./pedido</t>
        </is>
      </c>
      <c r="C19" s="24" t="inlineStr">
        <is>
          <t>Target unitario</t>
        </is>
      </c>
      <c r="D19" s="24" t="inlineStr">
        <is>
          <t>Custo no pedido</t>
        </is>
      </c>
    </row>
    <row r="20">
      <c r="A20" s="4" t="inlineStr">
        <is>
          <t>Brinde — po (30 dias)</t>
        </is>
      </c>
      <c r="B20" s="33">
        <f>Premissas!$B$12+Premissas!$B$45*(Premissas!$B$11-Premissas!$B$12)</f>
        <v/>
      </c>
      <c r="C20" s="6" t="n">
        <v>5</v>
      </c>
      <c r="D20" s="13">
        <f>B20*C20</f>
        <v/>
      </c>
      <c r="F20" s="2" t="inlineStr">
        <is>
          <t>Glucomanan e barato em bulk; o pote pesa mais que o custo.</t>
        </is>
      </c>
    </row>
    <row r="21">
      <c r="A21" s="4" t="inlineStr">
        <is>
          <t>Bump Glicemico (60 caps)</t>
        </is>
      </c>
      <c r="B21" s="33">
        <f>Premissas!$B$13*Premissas!$B$15</f>
        <v/>
      </c>
      <c r="C21" s="6" t="n">
        <v>4</v>
      </c>
      <c r="D21" s="13">
        <f>B21*C21</f>
        <v/>
      </c>
      <c r="F21" s="2" t="inlineStr">
        <is>
          <t>Gymnema, cromo, canela, ALA — todos commodity.</t>
        </is>
      </c>
    </row>
    <row r="22">
      <c r="A22" s="4" t="inlineStr">
        <is>
          <t>Bump Acelerador (60 caps)</t>
        </is>
      </c>
      <c r="B22" s="33">
        <f>Premissas!$B$14*Premissas!$B$16</f>
        <v/>
      </c>
      <c r="C22" s="6" t="n">
        <v>4.5</v>
      </c>
      <c r="D22" s="13">
        <f>B22*C22</f>
        <v/>
      </c>
      <c r="F22" s="2" t="inlineStr">
        <is>
          <t>Capsimax e licenciado; o resto e commodity.</t>
        </is>
      </c>
    </row>
    <row r="23">
      <c r="A23" s="4" t="inlineStr">
        <is>
          <t>Frete de entrada (todas as unidades)</t>
        </is>
      </c>
      <c r="B23" s="33">
        <f>$B$7</f>
        <v/>
      </c>
      <c r="C23" s="12">
        <f>Premissas!$B$8</f>
        <v/>
      </c>
      <c r="D23" s="13">
        <f>B23*C23</f>
        <v/>
      </c>
    </row>
    <row r="24">
      <c r="A24" s="3" t="inlineStr">
        <is>
          <t>Subtotal (tudo menos o principal)</t>
        </is>
      </c>
      <c r="D24" s="15">
        <f>SUM(D20:D23)</f>
        <v/>
      </c>
    </row>
    <row r="26">
      <c r="A26" s="5" t="inlineStr">
        <is>
          <t>3. TARGET DO PRODUTO PRINCIPAL  (o que sobra do orcamento)</t>
        </is>
      </c>
      <c r="B26" s="5" t="n"/>
      <c r="C26" s="5" t="n"/>
      <c r="D26" s="5" t="n"/>
      <c r="E26" s="5" t="n"/>
    </row>
    <row r="27">
      <c r="A27" s="4" t="inlineStr">
        <is>
          <t>Orcamento disponivel para o principal</t>
        </is>
      </c>
      <c r="B27" s="13">
        <f>$B$16-$D$24</f>
        <v/>
      </c>
    </row>
    <row r="28">
      <c r="A28" s="4" t="inlineStr">
        <is>
          <t>Unidades do principal por pedido</t>
        </is>
      </c>
      <c r="B28" s="14">
        <f>Premissas!$B$11</f>
        <v/>
      </c>
    </row>
    <row r="29">
      <c r="A29" s="3" t="inlineStr">
        <is>
          <t>TARGET POR FRASCO DO PRINCIPAL</t>
        </is>
      </c>
      <c r="B29" s="15">
        <f>$B$27/Premissas!$B$11</f>
        <v/>
      </c>
      <c r="D29" s="2" t="inlineStr">
        <is>
          <t>Numero para levar ao fornecedor. Arredonde para baixo na negociacao.</t>
        </is>
      </c>
    </row>
    <row r="31">
      <c r="A31" s="4" t="inlineStr">
        <is>
          <t>Cada $1 a menos no frasco do principal vale, no pedido:</t>
        </is>
      </c>
      <c r="B31" s="13">
        <f>Premissas!$B$11</f>
        <v/>
      </c>
      <c r="D31" s="2" t="inlineStr">
        <is>
          <t>Sao 6 frascos por cliente: negociar o principal vale 6x mais que qualquer outro SKU.</t>
        </is>
      </c>
    </row>
    <row r="33">
      <c r="A33" s="5" t="inlineStr">
        <is>
          <t>4. TARGET DO PRINCIPAL POR CENARIO DE CAC</t>
        </is>
      </c>
      <c r="B33" s="5" t="n"/>
      <c r="C33" s="5" t="n"/>
      <c r="D33" s="5" t="n"/>
      <c r="E33" s="5" t="n"/>
      <c r="F33" s="5" t="n"/>
      <c r="G33" s="5" t="n"/>
    </row>
    <row r="34">
      <c r="A34" s="10" t="inlineStr">
        <is>
          <t>CAC de planejamento</t>
        </is>
      </c>
      <c r="B34" s="28" t="n">
        <v>70</v>
      </c>
      <c r="C34" s="28" t="n">
        <v>75</v>
      </c>
      <c r="D34" s="28" t="n">
        <v>80</v>
      </c>
      <c r="E34" s="28" t="n">
        <v>90</v>
      </c>
      <c r="F34" s="28" t="n">
        <v>100</v>
      </c>
      <c r="G34" s="28" t="n">
        <v>110</v>
      </c>
    </row>
    <row r="35">
      <c r="A35" s="4" t="inlineStr">
        <is>
          <t>Orcamento de produto no pedido</t>
        </is>
      </c>
      <c r="B35" s="31">
        <f>$B$16-$B$13-$B$14-B$34*(1+(Premissas!$B$37+Premissas!$B$34)/Premissas!$B$27)</f>
        <v/>
      </c>
      <c r="C35" s="31">
        <f>$B$16-$B$13-$B$14-C$34*(1+(Premissas!$B$37+Premissas!$B$34)/Premissas!$B$27)</f>
        <v/>
      </c>
      <c r="D35" s="31">
        <f>$B$16-$B$13-$B$14-D$34*(1+(Premissas!$B$37+Premissas!$B$34)/Premissas!$B$27)</f>
        <v/>
      </c>
      <c r="E35" s="31">
        <f>$B$16-$B$13-$B$14-E$34*(1+(Premissas!$B$37+Premissas!$B$34)/Premissas!$B$27)</f>
        <v/>
      </c>
      <c r="F35" s="31">
        <f>$B$16-$B$13-$B$14-F$34*(1+(Premissas!$B$37+Premissas!$B$34)/Premissas!$B$27)</f>
        <v/>
      </c>
      <c r="G35" s="31">
        <f>$B$16-$B$13-$B$14-G$34*(1+(Premissas!$B$37+Premissas!$B$34)/Premissas!$B$27)</f>
        <v/>
      </c>
    </row>
    <row r="36">
      <c r="A36" s="3" t="inlineStr">
        <is>
          <t>TARGET POR FRASCO DO PRINCIPAL</t>
        </is>
      </c>
      <c r="B36" s="34">
        <f>(B35-$D$24)/Premissas!$B$11</f>
        <v/>
      </c>
      <c r="C36" s="34">
        <f>(C35-$D$24)/Premissas!$B$11</f>
        <v/>
      </c>
      <c r="D36" s="34">
        <f>(D35-$D$24)/Premissas!$B$11</f>
        <v/>
      </c>
      <c r="E36" s="34">
        <f>(E35-$D$24)/Premissas!$B$11</f>
        <v/>
      </c>
      <c r="F36" s="34">
        <f>(F35-$D$24)/Premissas!$B$11</f>
        <v/>
      </c>
      <c r="G36" s="34">
        <f>(G35-$D$24)/Premissas!$B$11</f>
        <v/>
      </c>
    </row>
    <row r="38">
      <c r="A38" s="5" t="inlineStr">
        <is>
          <t>5. O QUE O TARGET IMPLICA NA FORMULA</t>
        </is>
      </c>
      <c r="B38" s="5" t="n"/>
      <c r="C38" s="5" t="n"/>
      <c r="D38" s="5" t="n"/>
      <c r="E38" s="5" t="n"/>
      <c r="F38" s="5" t="n"/>
      <c r="G38" s="5" t="n"/>
    </row>
    <row r="39">
      <c r="A39" s="4" t="inlineStr">
        <is>
          <t>O target do principal nao e so um numero de negociacao: ele decide a formula. Uma estimativa de mercado dos</t>
        </is>
      </c>
    </row>
    <row r="40">
      <c r="A40" s="4" t="inlineStr">
        <is>
          <t>quatro ativos do briefing, em dose clinica, por frasco de 30 dias:</t>
        </is>
      </c>
    </row>
    <row r="41">
      <c r="A41" s="2" t="inlineStr"/>
    </row>
    <row r="42">
      <c r="A42" s="4" t="inlineStr">
        <is>
          <t xml:space="preserve">   Satiereal (acafrao) 176 mg/dia  ......  o mais caro dos quatro, possivelmente metade do custo do frasco</t>
        </is>
      </c>
    </row>
    <row r="43">
      <c r="A43" s="4" t="inlineStr">
        <is>
          <t xml:space="preserve">   Morosil (laranja moro) 400 mg/dia  ...  segundo maior</t>
        </is>
      </c>
    </row>
    <row r="44">
      <c r="A44" s="4" t="inlineStr">
        <is>
          <t xml:space="preserve">   Slendesta (proteina de batata) 300 mg   moderado</t>
        </is>
      </c>
    </row>
    <row r="45">
      <c r="A45" s="4" t="inlineStr">
        <is>
          <t xml:space="preserve">   Berberina HCl 1.000 mg/dia  ..........  barato; di-hidroberberina custa varias vezes mais</t>
        </is>
      </c>
    </row>
    <row r="46">
      <c r="A46" s="4" t="inlineStr">
        <is>
          <t xml:space="preserve">   Encapsulacao, frasco, rotulo  ........  fixo, baixo</t>
        </is>
      </c>
    </row>
    <row r="47">
      <c r="A47" s="2" t="inlineStr"/>
    </row>
    <row r="48">
      <c r="A48" s="4" t="inlineStr">
        <is>
          <t>Conclusao pratica: se o target ficar abaixo de $10 por frasco, a formula completa do briefing dificilmente cabe.</t>
        </is>
      </c>
    </row>
    <row r="49">
      <c r="A49" s="4" t="inlineStr">
        <is>
          <t>A decisao nao e cortar dose — e escolher quais ativos ficam. Por isso o RFQ deve pedir tres variantes:</t>
        </is>
      </c>
    </row>
    <row r="50">
      <c r="A50" s="2" t="inlineStr"/>
    </row>
    <row r="51">
      <c r="A51" s="4" t="inlineStr">
        <is>
          <t xml:space="preserve">   V1  briefing completo: di-hidroberberina + Satiereal + Slendesta + Morosil</t>
        </is>
      </c>
    </row>
    <row r="52">
      <c r="A52" s="4" t="inlineStr">
        <is>
          <t xml:space="preserve">   V2  berberina HCl 1.000-1.500 mg + Slendesta + Morosil  (sem Satiereal)</t>
        </is>
      </c>
    </row>
    <row r="53">
      <c r="A53" s="4" t="inlineStr">
        <is>
          <t xml:space="preserve">   V3  berberina HCl 1.000-1.500 mg + Morosil  (o mais enxuto defensavel)</t>
        </is>
      </c>
    </row>
    <row r="54">
      <c r="A54" s="2" t="inlineStr"/>
    </row>
    <row r="55">
      <c r="A55" s="4" t="inlineStr">
        <is>
          <t>E o pedido central: CUSTO POR ATIVO, nao preco fechado do frasco. Sem isso nao ha como trocar dose por custo</t>
        </is>
      </c>
    </row>
    <row r="56">
      <c r="A56" s="4" t="inlineStr">
        <is>
          <t>de forma informada, nem saber se vale pagar por Satiereal. A berberina HCl tem base de evidencia humana maior</t>
        </is>
      </c>
    </row>
    <row r="57">
      <c r="A57" s="4" t="inlineStr">
        <is>
          <t>que a di-hidroberberina; a di-hidro resolve numero de capsulas, nao eficacia.</t>
        </is>
      </c>
    </row>
  </sheetData>
  <conditionalFormatting sqref="B36:G36">
    <cfRule type="expression" priority="1" dxfId="2">
      <formula>B36&lt;5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2026-09-26T21:36:11Z</dcterms:created>
  <dcterms:modified xsi:type="dcterms:W3CDTF">2026-09-26T21:36:11Z</dcterms:modified>
</cp:coreProperties>
</file>